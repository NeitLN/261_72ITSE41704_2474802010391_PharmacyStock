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  <sheet xmlns:r="http://schemas.openxmlformats.org/officeDocument/2006/relationships" name="Calculation" sheetId="2" state="visible" r:id="rId2"/>
    <sheet xmlns:r="http://schemas.openxmlformats.org/officeDocument/2006/relationships" name="Report" sheetId="3" state="visible" r:id="rId3"/>
    <sheet xmlns:r="http://schemas.openxmlformats.org/officeDocument/2006/relationships" name="Comp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</t>
        </is>
      </c>
      <c r="B1" s="1" t="inlineStr">
        <is>
          <t>name</t>
        </is>
      </c>
      <c r="C1" s="1" t="inlineStr">
        <is>
          <t>batch</t>
        </is>
      </c>
      <c r="D1" s="1" t="inlineStr">
        <is>
          <t>unit_cost</t>
        </is>
      </c>
      <c r="E1" s="1" t="inlineStr">
        <is>
          <t>business_day</t>
        </is>
      </c>
      <c r="F1" s="1" t="inlineStr">
        <is>
          <t>time</t>
        </is>
      </c>
      <c r="G1" s="1" t="inlineStr">
        <is>
          <t>type</t>
        </is>
      </c>
      <c r="H1" s="1" t="inlineStr">
        <is>
          <t>d_sellable</t>
        </is>
      </c>
      <c r="I1" s="1" t="inlineStr">
        <is>
          <t>d_quarantine</t>
        </is>
      </c>
      <c r="J1" s="1" t="inlineStr">
        <is>
          <t>d_pending</t>
        </is>
      </c>
      <c r="K1" s="1" t="inlineStr">
        <is>
          <t>is_reversal</t>
        </is>
      </c>
      <c r="L1" s="1" t="inlineStr">
        <is>
          <t>cost_of_d_sellable</t>
        </is>
      </c>
    </row>
    <row r="2">
      <c r="A2" t="inlineStr">
        <is>
          <t>ACC200</t>
        </is>
      </c>
      <c r="B2" t="inlineStr">
        <is>
          <t>Acetylcysteine 200 mg</t>
        </is>
      </c>
      <c r="C2" t="inlineStr">
        <is>
          <t>ACC2029032</t>
        </is>
      </c>
      <c r="D2" t="n">
        <v>1364</v>
      </c>
      <c r="E2" t="inlineStr">
        <is>
          <t>2026-06-04</t>
        </is>
      </c>
      <c r="F2" t="inlineStr">
        <is>
          <t>08:09</t>
        </is>
      </c>
      <c r="G2" t="inlineStr">
        <is>
          <t>receipt</t>
        </is>
      </c>
      <c r="H2" t="n">
        <v>339</v>
      </c>
      <c r="I2" t="n">
        <v>0</v>
      </c>
      <c r="J2" t="n">
        <v>0</v>
      </c>
      <c r="K2" t="inlineStr">
        <is>
          <t>f</t>
        </is>
      </c>
      <c r="L2">
        <f>H2*D2</f>
        <v/>
      </c>
    </row>
    <row r="3">
      <c r="A3" t="inlineStr">
        <is>
          <t>ACC200</t>
        </is>
      </c>
      <c r="B3" t="inlineStr">
        <is>
          <t>Acetylcysteine 200 mg</t>
        </is>
      </c>
      <c r="C3" t="inlineStr">
        <is>
          <t>ACC2029021</t>
        </is>
      </c>
      <c r="D3" t="n">
        <v>1760</v>
      </c>
      <c r="E3" t="inlineStr">
        <is>
          <t>2026-08-10</t>
        </is>
      </c>
      <c r="F3" t="inlineStr">
        <is>
          <t>08:17</t>
        </is>
      </c>
      <c r="G3" t="inlineStr">
        <is>
          <t>receipt</t>
        </is>
      </c>
      <c r="H3" t="n">
        <v>210</v>
      </c>
      <c r="I3" t="n">
        <v>0</v>
      </c>
      <c r="J3" t="n">
        <v>0</v>
      </c>
      <c r="K3" t="inlineStr">
        <is>
          <t>f</t>
        </is>
      </c>
      <c r="L3">
        <f>H3*D3</f>
        <v/>
      </c>
    </row>
    <row r="4">
      <c r="A4" t="inlineStr">
        <is>
          <t>ACIC-CR</t>
        </is>
      </c>
      <c r="B4" t="inlineStr">
        <is>
          <t>Aciclovir cream 5%</t>
        </is>
      </c>
      <c r="C4" t="inlineStr">
        <is>
          <t>ACICC26122</t>
        </is>
      </c>
      <c r="D4" t="n">
        <v>15750</v>
      </c>
      <c r="E4" t="inlineStr">
        <is>
          <t>2026-04-17</t>
        </is>
      </c>
      <c r="F4" t="inlineStr">
        <is>
          <t>08:06</t>
        </is>
      </c>
      <c r="G4" t="inlineStr">
        <is>
          <t>receipt</t>
        </is>
      </c>
      <c r="H4" t="n">
        <v>6</v>
      </c>
      <c r="I4" t="n">
        <v>0</v>
      </c>
      <c r="J4" t="n">
        <v>0</v>
      </c>
      <c r="K4" t="inlineStr">
        <is>
          <t>f</t>
        </is>
      </c>
      <c r="L4">
        <f>H4*D4</f>
        <v/>
      </c>
    </row>
    <row r="5">
      <c r="A5" t="inlineStr">
        <is>
          <t>ACIC-CR</t>
        </is>
      </c>
      <c r="B5" t="inlineStr">
        <is>
          <t>Aciclovir cream 5%</t>
        </is>
      </c>
      <c r="C5" t="inlineStr">
        <is>
          <t>ACICC28031</t>
        </is>
      </c>
      <c r="D5" t="n">
        <v>17750</v>
      </c>
      <c r="E5" t="inlineStr">
        <is>
          <t>2026-09-03</t>
        </is>
      </c>
      <c r="F5" t="inlineStr">
        <is>
          <t>08:20</t>
        </is>
      </c>
      <c r="G5" t="inlineStr">
        <is>
          <t>receipt</t>
        </is>
      </c>
      <c r="H5" t="n">
        <v>16</v>
      </c>
      <c r="I5" t="n">
        <v>0</v>
      </c>
      <c r="J5" t="n">
        <v>0</v>
      </c>
      <c r="K5" t="inlineStr">
        <is>
          <t>f</t>
        </is>
      </c>
      <c r="L5">
        <f>H5*D5</f>
        <v/>
      </c>
    </row>
    <row r="6">
      <c r="A6" t="inlineStr">
        <is>
          <t>ALU-GEL</t>
        </is>
      </c>
      <c r="B6" t="inlineStr">
        <is>
          <t>Aluminium phosphate gel</t>
        </is>
      </c>
      <c r="C6" t="inlineStr">
        <is>
          <t>ALUGE27081</t>
        </is>
      </c>
      <c r="D6" t="n">
        <v>2745</v>
      </c>
      <c r="E6" t="inlineStr">
        <is>
          <t>2026-06-22</t>
        </is>
      </c>
      <c r="F6" t="inlineStr">
        <is>
          <t>08:12</t>
        </is>
      </c>
      <c r="G6" t="inlineStr">
        <is>
          <t>receipt</t>
        </is>
      </c>
      <c r="H6" t="n">
        <v>283</v>
      </c>
      <c r="I6" t="n">
        <v>0</v>
      </c>
      <c r="J6" t="n">
        <v>0</v>
      </c>
      <c r="K6" t="inlineStr">
        <is>
          <t>f</t>
        </is>
      </c>
      <c r="L6">
        <f>H6*D6</f>
        <v/>
      </c>
    </row>
    <row r="7">
      <c r="A7" t="inlineStr">
        <is>
          <t>ALU-GEL</t>
        </is>
      </c>
      <c r="B7" t="inlineStr">
        <is>
          <t>Aluminium phosphate gel</t>
        </is>
      </c>
      <c r="C7" t="inlineStr">
        <is>
          <t>ALUGE27122</t>
        </is>
      </c>
      <c r="D7" t="n">
        <v>3150</v>
      </c>
      <c r="E7" t="inlineStr">
        <is>
          <t>2026-09-11</t>
        </is>
      </c>
      <c r="F7" t="inlineStr">
        <is>
          <t>08:21</t>
        </is>
      </c>
      <c r="G7" t="inlineStr">
        <is>
          <t>receipt</t>
        </is>
      </c>
      <c r="H7" t="n">
        <v>108</v>
      </c>
      <c r="I7" t="n">
        <v>0</v>
      </c>
      <c r="J7" t="n">
        <v>0</v>
      </c>
      <c r="K7" t="inlineStr">
        <is>
          <t>f</t>
        </is>
      </c>
      <c r="L7">
        <f>H7*D7</f>
        <v/>
      </c>
    </row>
    <row r="8">
      <c r="A8" t="inlineStr">
        <is>
          <t>AMLO5</t>
        </is>
      </c>
      <c r="B8" t="inlineStr">
        <is>
          <t>Amlodipine 5 mg</t>
        </is>
      </c>
      <c r="C8" t="inlineStr">
        <is>
          <t>AMLO528072</t>
        </is>
      </c>
      <c r="D8" t="n">
        <v>585</v>
      </c>
      <c r="E8" t="inlineStr">
        <is>
          <t>2026-07-20</t>
        </is>
      </c>
      <c r="F8" t="inlineStr">
        <is>
          <t>08:15</t>
        </is>
      </c>
      <c r="G8" t="inlineStr">
        <is>
          <t>receipt</t>
        </is>
      </c>
      <c r="H8" t="n">
        <v>29</v>
      </c>
      <c r="I8" t="n">
        <v>0</v>
      </c>
      <c r="J8" t="n">
        <v>0</v>
      </c>
      <c r="K8" t="inlineStr">
        <is>
          <t>f</t>
        </is>
      </c>
      <c r="L8">
        <f>H8*D8</f>
        <v/>
      </c>
    </row>
    <row r="9">
      <c r="A9" t="inlineStr">
        <is>
          <t>AMLO5</t>
        </is>
      </c>
      <c r="B9" t="inlineStr">
        <is>
          <t>Amlodipine 5 mg</t>
        </is>
      </c>
      <c r="C9" t="inlineStr">
        <is>
          <t>AMLO528121</t>
        </is>
      </c>
      <c r="D9" t="n">
        <v>576</v>
      </c>
      <c r="E9" t="inlineStr">
        <is>
          <t>2026-10-02</t>
        </is>
      </c>
      <c r="F9" t="inlineStr">
        <is>
          <t>08:23</t>
        </is>
      </c>
      <c r="G9" t="inlineStr">
        <is>
          <t>receipt</t>
        </is>
      </c>
      <c r="H9" t="n">
        <v>30</v>
      </c>
      <c r="I9" t="n">
        <v>0</v>
      </c>
      <c r="J9" t="n">
        <v>0</v>
      </c>
      <c r="K9" t="inlineStr">
        <is>
          <t>f</t>
        </is>
      </c>
      <c r="L9">
        <f>H9*D9</f>
        <v/>
      </c>
    </row>
    <row r="10">
      <c r="A10" t="inlineStr">
        <is>
          <t>AMOX500</t>
        </is>
      </c>
      <c r="B10" t="inlineStr">
        <is>
          <t>Amoxicillin 500 mg</t>
        </is>
      </c>
      <c r="C10" t="inlineStr">
        <is>
          <t>AMOX528041</t>
        </is>
      </c>
      <c r="D10" t="n">
        <v>1296</v>
      </c>
      <c r="E10" t="inlineStr">
        <is>
          <t>2026-07-01</t>
        </is>
      </c>
      <c r="F10" t="inlineStr">
        <is>
          <t>08:13</t>
        </is>
      </c>
      <c r="G10" t="inlineStr">
        <is>
          <t>receipt</t>
        </is>
      </c>
      <c r="H10" t="n">
        <v>193</v>
      </c>
      <c r="I10" t="n">
        <v>0</v>
      </c>
      <c r="J10" t="n">
        <v>0</v>
      </c>
      <c r="K10" t="inlineStr">
        <is>
          <t>f</t>
        </is>
      </c>
      <c r="L10">
        <f>H10*D10</f>
        <v/>
      </c>
    </row>
    <row r="11">
      <c r="A11" t="inlineStr">
        <is>
          <t>AMOX500</t>
        </is>
      </c>
      <c r="B11" t="inlineStr">
        <is>
          <t>Amoxicillin 500 mg</t>
        </is>
      </c>
      <c r="C11" t="inlineStr">
        <is>
          <t>AMOX527092</t>
        </is>
      </c>
      <c r="D11" t="n">
        <v>1170</v>
      </c>
      <c r="E11" t="inlineStr">
        <is>
          <t>2026-09-11</t>
        </is>
      </c>
      <c r="F11" t="inlineStr">
        <is>
          <t>08:21</t>
        </is>
      </c>
      <c r="G11" t="inlineStr">
        <is>
          <t>receipt</t>
        </is>
      </c>
      <c r="H11" t="n">
        <v>372</v>
      </c>
      <c r="I11" t="n">
        <v>0</v>
      </c>
      <c r="J11" t="n">
        <v>0</v>
      </c>
      <c r="K11" t="inlineStr">
        <is>
          <t>f</t>
        </is>
      </c>
      <c r="L11">
        <f>H11*D11</f>
        <v/>
      </c>
    </row>
    <row r="12">
      <c r="A12" t="inlineStr">
        <is>
          <t>ARTI-TEAR</t>
        </is>
      </c>
      <c r="B12" t="inlineStr">
        <is>
          <t>Artificial tears</t>
        </is>
      </c>
      <c r="C12" t="inlineStr">
        <is>
          <t>ARTIT27101</t>
        </is>
      </c>
      <c r="D12" t="n">
        <v>39600</v>
      </c>
      <c r="E12" t="inlineStr">
        <is>
          <t>2026-06-10</t>
        </is>
      </c>
      <c r="F12" t="inlineStr">
        <is>
          <t>08:10</t>
        </is>
      </c>
      <c r="G12" t="inlineStr">
        <is>
          <t>receipt</t>
        </is>
      </c>
      <c r="H12" t="n">
        <v>18</v>
      </c>
      <c r="I12" t="n">
        <v>0</v>
      </c>
      <c r="J12" t="n">
        <v>0</v>
      </c>
      <c r="K12" t="inlineStr">
        <is>
          <t>f</t>
        </is>
      </c>
      <c r="L12">
        <f>H12*D12</f>
        <v/>
      </c>
    </row>
    <row r="13">
      <c r="A13" t="inlineStr">
        <is>
          <t>ARTI-TEAR</t>
        </is>
      </c>
      <c r="B13" t="inlineStr">
        <is>
          <t>Artificial tears</t>
        </is>
      </c>
      <c r="C13" t="inlineStr">
        <is>
          <t>ARTIT29042</t>
        </is>
      </c>
      <c r="D13" t="n">
        <v>33550</v>
      </c>
      <c r="E13" t="inlineStr">
        <is>
          <t>2026-08-22</t>
        </is>
      </c>
      <c r="F13" t="inlineStr">
        <is>
          <t>08:18</t>
        </is>
      </c>
      <c r="G13" t="inlineStr">
        <is>
          <t>receipt</t>
        </is>
      </c>
      <c r="H13" t="n">
        <v>24</v>
      </c>
      <c r="I13" t="n">
        <v>0</v>
      </c>
      <c r="J13" t="n">
        <v>0</v>
      </c>
      <c r="K13" t="inlineStr">
        <is>
          <t>f</t>
        </is>
      </c>
      <c r="L13">
        <f>H13*D13</f>
        <v/>
      </c>
    </row>
    <row r="14">
      <c r="A14" t="inlineStr">
        <is>
          <t>ASP81</t>
        </is>
      </c>
      <c r="B14" t="inlineStr">
        <is>
          <t>Aspirin 81 mg</t>
        </is>
      </c>
      <c r="C14" t="inlineStr">
        <is>
          <t>ASP8128122</t>
        </is>
      </c>
      <c r="D14" t="n">
        <v>256</v>
      </c>
      <c r="E14" t="inlineStr">
        <is>
          <t>2026-06-10</t>
        </is>
      </c>
      <c r="F14" t="inlineStr">
        <is>
          <t>08:10</t>
        </is>
      </c>
      <c r="G14" t="inlineStr">
        <is>
          <t>receipt</t>
        </is>
      </c>
      <c r="H14" t="n">
        <v>337</v>
      </c>
      <c r="I14" t="n">
        <v>0</v>
      </c>
      <c r="J14" t="n">
        <v>0</v>
      </c>
      <c r="K14" t="inlineStr">
        <is>
          <t>f</t>
        </is>
      </c>
      <c r="L14">
        <f>H14*D14</f>
        <v/>
      </c>
    </row>
    <row r="15">
      <c r="A15" t="inlineStr">
        <is>
          <t>ASP81</t>
        </is>
      </c>
      <c r="B15" t="inlineStr">
        <is>
          <t>Aspirin 81 mg</t>
        </is>
      </c>
      <c r="C15" t="inlineStr">
        <is>
          <t>ASP8127071</t>
        </is>
      </c>
      <c r="D15" t="n">
        <v>304</v>
      </c>
      <c r="E15" t="inlineStr">
        <is>
          <t>2026-10-02</t>
        </is>
      </c>
      <c r="F15" t="inlineStr">
        <is>
          <t>08:23</t>
        </is>
      </c>
      <c r="G15" t="inlineStr">
        <is>
          <t>receipt</t>
        </is>
      </c>
      <c r="H15" t="n">
        <v>123</v>
      </c>
      <c r="I15" t="n">
        <v>0</v>
      </c>
      <c r="J15" t="n">
        <v>0</v>
      </c>
      <c r="K15" t="inlineStr">
        <is>
          <t>f</t>
        </is>
      </c>
      <c r="L15">
        <f>H15*D15</f>
        <v/>
      </c>
    </row>
    <row r="16">
      <c r="A16" t="inlineStr">
        <is>
          <t>ATOR20</t>
        </is>
      </c>
      <c r="B16" t="inlineStr">
        <is>
          <t>Atorvastatin 20 mg</t>
        </is>
      </c>
      <c r="C16" t="inlineStr">
        <is>
          <t>ATOR228022</t>
        </is>
      </c>
      <c r="D16" t="n">
        <v>1525</v>
      </c>
      <c r="E16" t="inlineStr">
        <is>
          <t>2026-06-02</t>
        </is>
      </c>
      <c r="F16" t="inlineStr">
        <is>
          <t>08:08</t>
        </is>
      </c>
      <c r="G16" t="inlineStr">
        <is>
          <t>receipt</t>
        </is>
      </c>
      <c r="H16" t="n">
        <v>93</v>
      </c>
      <c r="I16" t="n">
        <v>0</v>
      </c>
      <c r="J16" t="n">
        <v>0</v>
      </c>
      <c r="K16" t="inlineStr">
        <is>
          <t>f</t>
        </is>
      </c>
      <c r="L16">
        <f>H16*D16</f>
        <v/>
      </c>
    </row>
    <row r="17">
      <c r="A17" t="inlineStr">
        <is>
          <t>ATOR20</t>
        </is>
      </c>
      <c r="B17" t="inlineStr">
        <is>
          <t>Atorvastatin 20 mg</t>
        </is>
      </c>
      <c r="C17" t="inlineStr">
        <is>
          <t>ATOR228051</t>
        </is>
      </c>
      <c r="D17" t="n">
        <v>1600</v>
      </c>
      <c r="E17" t="inlineStr">
        <is>
          <t>2026-07-20</t>
        </is>
      </c>
      <c r="F17" t="inlineStr">
        <is>
          <t>08:15</t>
        </is>
      </c>
      <c r="G17" t="inlineStr">
        <is>
          <t>receipt</t>
        </is>
      </c>
      <c r="H17" t="n">
        <v>228</v>
      </c>
      <c r="I17" t="n">
        <v>0</v>
      </c>
      <c r="J17" t="n">
        <v>0</v>
      </c>
      <c r="K17" t="inlineStr">
        <is>
          <t>f</t>
        </is>
      </c>
      <c r="L17">
        <f>H17*D17</f>
        <v/>
      </c>
    </row>
    <row r="18">
      <c r="A18" t="inlineStr">
        <is>
          <t>AUGM625</t>
        </is>
      </c>
      <c r="B18" t="inlineStr">
        <is>
          <t>Amoxicillin + clavulanic acid 625 mg</t>
        </is>
      </c>
      <c r="C18" t="inlineStr">
        <is>
          <t>AUGM626112</t>
        </is>
      </c>
      <c r="D18" t="n">
        <v>7220</v>
      </c>
      <c r="E18" t="inlineStr">
        <is>
          <t>2026-06-02</t>
        </is>
      </c>
      <c r="F18" t="inlineStr">
        <is>
          <t>08:08</t>
        </is>
      </c>
      <c r="G18" t="inlineStr">
        <is>
          <t>receipt</t>
        </is>
      </c>
      <c r="H18" t="n">
        <v>14</v>
      </c>
      <c r="I18" t="n">
        <v>0</v>
      </c>
      <c r="J18" t="n">
        <v>0</v>
      </c>
      <c r="K18" t="inlineStr">
        <is>
          <t>f</t>
        </is>
      </c>
      <c r="L18">
        <f>H18*D18</f>
        <v/>
      </c>
    </row>
    <row r="19">
      <c r="A19" t="inlineStr">
        <is>
          <t>AUGM625</t>
        </is>
      </c>
      <c r="B19" t="inlineStr">
        <is>
          <t>Amoxicillin + clavulanic acid 625 mg</t>
        </is>
      </c>
      <c r="C19" t="inlineStr">
        <is>
          <t>AUGM627061</t>
        </is>
      </c>
      <c r="D19" t="n">
        <v>7125</v>
      </c>
      <c r="E19" t="inlineStr">
        <is>
          <t>2026-08-10</t>
        </is>
      </c>
      <c r="F19" t="inlineStr">
        <is>
          <t>08:17</t>
        </is>
      </c>
      <c r="G19" t="inlineStr">
        <is>
          <t>receipt</t>
        </is>
      </c>
      <c r="H19" t="n">
        <v>15</v>
      </c>
      <c r="I19" t="n">
        <v>0</v>
      </c>
      <c r="J19" t="n">
        <v>0</v>
      </c>
      <c r="K19" t="inlineStr">
        <is>
          <t>f</t>
        </is>
      </c>
      <c r="L19">
        <f>H19*D19</f>
        <v/>
      </c>
    </row>
    <row r="20">
      <c r="A20" t="inlineStr">
        <is>
          <t>AZI250</t>
        </is>
      </c>
      <c r="B20" t="inlineStr">
        <is>
          <t>Azithromycin 250 mg</t>
        </is>
      </c>
      <c r="C20" t="inlineStr">
        <is>
          <t>AZI2526091</t>
        </is>
      </c>
      <c r="D20" t="n">
        <v>4485</v>
      </c>
      <c r="E20" t="inlineStr">
        <is>
          <t>2025-08-31</t>
        </is>
      </c>
      <c r="F20" t="inlineStr">
        <is>
          <t>08:01</t>
        </is>
      </c>
      <c r="G20" t="inlineStr">
        <is>
          <t>receipt</t>
        </is>
      </c>
      <c r="H20" t="n">
        <v>69</v>
      </c>
      <c r="I20" t="n">
        <v>0</v>
      </c>
      <c r="J20" t="n">
        <v>0</v>
      </c>
      <c r="K20" t="inlineStr">
        <is>
          <t>f</t>
        </is>
      </c>
      <c r="L20">
        <f>H20*D20</f>
        <v/>
      </c>
    </row>
    <row r="21">
      <c r="A21" t="inlineStr">
        <is>
          <t>AZI250</t>
        </is>
      </c>
      <c r="B21" t="inlineStr">
        <is>
          <t>Azithromycin 250 mg</t>
        </is>
      </c>
      <c r="C21" t="inlineStr">
        <is>
          <t>AZI2526122</t>
        </is>
      </c>
      <c r="D21" t="n">
        <v>4550</v>
      </c>
      <c r="E21" t="inlineStr">
        <is>
          <t>2025-12-16</t>
        </is>
      </c>
      <c r="F21" t="inlineStr">
        <is>
          <t>08:03</t>
        </is>
      </c>
      <c r="G21" t="inlineStr">
        <is>
          <t>receipt</t>
        </is>
      </c>
      <c r="H21" t="n">
        <v>58</v>
      </c>
      <c r="I21" t="n">
        <v>0</v>
      </c>
      <c r="J21" t="n">
        <v>0</v>
      </c>
      <c r="K21" t="inlineStr">
        <is>
          <t>f</t>
        </is>
      </c>
      <c r="L21">
        <f>H21*D21</f>
        <v/>
      </c>
    </row>
    <row r="22">
      <c r="A22" t="inlineStr">
        <is>
          <t>BAND-STR</t>
        </is>
      </c>
      <c r="B22" t="inlineStr">
        <is>
          <t>Adhesive bandage strips</t>
        </is>
      </c>
      <c r="C22" t="inlineStr">
        <is>
          <t>BANDS27071</t>
        </is>
      </c>
      <c r="D22" t="n">
        <v>315</v>
      </c>
      <c r="E22" t="inlineStr">
        <is>
          <t>2026-06-22</t>
        </is>
      </c>
      <c r="F22" t="inlineStr">
        <is>
          <t>08:12</t>
        </is>
      </c>
      <c r="G22" t="inlineStr">
        <is>
          <t>receipt</t>
        </is>
      </c>
      <c r="H22" t="n">
        <v>99</v>
      </c>
      <c r="I22" t="n">
        <v>0</v>
      </c>
      <c r="J22" t="n">
        <v>0</v>
      </c>
      <c r="K22" t="inlineStr">
        <is>
          <t>f</t>
        </is>
      </c>
      <c r="L22">
        <f>H22*D22</f>
        <v/>
      </c>
    </row>
    <row r="23">
      <c r="A23" t="inlineStr">
        <is>
          <t>BAND-STR</t>
        </is>
      </c>
      <c r="B23" t="inlineStr">
        <is>
          <t>Adhesive bandage strips</t>
        </is>
      </c>
      <c r="C23" t="inlineStr">
        <is>
          <t>BANDS27072</t>
        </is>
      </c>
      <c r="D23" t="n">
        <v>395</v>
      </c>
      <c r="E23" t="inlineStr">
        <is>
          <t>2026-09-21</t>
        </is>
      </c>
      <c r="F23" t="inlineStr">
        <is>
          <t>08:22</t>
        </is>
      </c>
      <c r="G23" t="inlineStr">
        <is>
          <t>receipt</t>
        </is>
      </c>
      <c r="H23" t="n">
        <v>389</v>
      </c>
      <c r="I23" t="n">
        <v>0</v>
      </c>
      <c r="J23" t="n">
        <v>0</v>
      </c>
      <c r="K23" t="inlineStr">
        <is>
          <t>f</t>
        </is>
      </c>
      <c r="L23">
        <f>H23*D23</f>
        <v/>
      </c>
    </row>
    <row r="24">
      <c r="A24" t="inlineStr">
        <is>
          <t>BISO5</t>
        </is>
      </c>
      <c r="B24" t="inlineStr">
        <is>
          <t>Bisoprolol 5 mg</t>
        </is>
      </c>
      <c r="C24" t="inlineStr">
        <is>
          <t>BISO528051</t>
        </is>
      </c>
      <c r="D24" t="n">
        <v>1170</v>
      </c>
      <c r="E24" t="inlineStr">
        <is>
          <t>2026-06-04</t>
        </is>
      </c>
      <c r="F24" t="inlineStr">
        <is>
          <t>08:09</t>
        </is>
      </c>
      <c r="G24" t="inlineStr">
        <is>
          <t>receipt</t>
        </is>
      </c>
      <c r="H24" t="n">
        <v>231</v>
      </c>
      <c r="I24" t="n">
        <v>0</v>
      </c>
      <c r="J24" t="n">
        <v>0</v>
      </c>
      <c r="K24" t="inlineStr">
        <is>
          <t>f</t>
        </is>
      </c>
      <c r="L24">
        <f>H24*D24</f>
        <v/>
      </c>
    </row>
    <row r="25">
      <c r="A25" t="inlineStr">
        <is>
          <t>BISO5</t>
        </is>
      </c>
      <c r="B25" t="inlineStr">
        <is>
          <t>Bisoprolol 5 mg</t>
        </is>
      </c>
      <c r="C25" t="inlineStr">
        <is>
          <t>BISO528042</t>
        </is>
      </c>
      <c r="D25" t="n">
        <v>1098</v>
      </c>
      <c r="E25" t="inlineStr">
        <is>
          <t>2026-08-22</t>
        </is>
      </c>
      <c r="F25" t="inlineStr">
        <is>
          <t>08:18</t>
        </is>
      </c>
      <c r="G25" t="inlineStr">
        <is>
          <t>receipt</t>
        </is>
      </c>
      <c r="H25" t="n">
        <v>135</v>
      </c>
      <c r="I25" t="n">
        <v>0</v>
      </c>
      <c r="J25" t="n">
        <v>0</v>
      </c>
      <c r="K25" t="inlineStr">
        <is>
          <t>f</t>
        </is>
      </c>
      <c r="L25">
        <f>H25*D25</f>
        <v/>
      </c>
    </row>
    <row r="26">
      <c r="A26" t="inlineStr">
        <is>
          <t>BROM8</t>
        </is>
      </c>
      <c r="B26" t="inlineStr">
        <is>
          <t>Bromhexine 8 mg</t>
        </is>
      </c>
      <c r="C26" t="inlineStr">
        <is>
          <t>BROM826091</t>
        </is>
      </c>
      <c r="D26" t="n">
        <v>396</v>
      </c>
      <c r="E26" t="inlineStr">
        <is>
          <t>2025-08-31</t>
        </is>
      </c>
      <c r="F26" t="inlineStr">
        <is>
          <t>08:01</t>
        </is>
      </c>
      <c r="G26" t="inlineStr">
        <is>
          <t>receipt</t>
        </is>
      </c>
      <c r="H26" t="n">
        <v>199</v>
      </c>
      <c r="I26" t="n">
        <v>0</v>
      </c>
      <c r="J26" t="n">
        <v>0</v>
      </c>
      <c r="K26" t="inlineStr">
        <is>
          <t>f</t>
        </is>
      </c>
      <c r="L26">
        <f>H26*D26</f>
        <v/>
      </c>
    </row>
    <row r="27">
      <c r="A27" t="inlineStr">
        <is>
          <t>BROM8</t>
        </is>
      </c>
      <c r="B27" t="inlineStr">
        <is>
          <t>Bromhexine 8 mg</t>
        </is>
      </c>
      <c r="C27" t="inlineStr">
        <is>
          <t>BROM827012</t>
        </is>
      </c>
      <c r="D27" t="n">
        <v>468</v>
      </c>
      <c r="E27" t="inlineStr">
        <is>
          <t>2026-03-02</t>
        </is>
      </c>
      <c r="F27" t="inlineStr">
        <is>
          <t>08:05</t>
        </is>
      </c>
      <c r="G27" t="inlineStr">
        <is>
          <t>receipt</t>
        </is>
      </c>
      <c r="H27" t="n">
        <v>207</v>
      </c>
      <c r="I27" t="n">
        <v>0</v>
      </c>
      <c r="J27" t="n">
        <v>0</v>
      </c>
      <c r="K27" t="inlineStr">
        <is>
          <t>f</t>
        </is>
      </c>
      <c r="L27">
        <f>H27*D27</f>
        <v/>
      </c>
    </row>
    <row r="28">
      <c r="A28" t="inlineStr">
        <is>
          <t>BROM8</t>
        </is>
      </c>
      <c r="B28" t="inlineStr">
        <is>
          <t>Bromhexine 8 mg</t>
        </is>
      </c>
      <c r="C28" t="inlineStr">
        <is>
          <t>BROM826091</t>
        </is>
      </c>
      <c r="D28" t="n">
        <v>396</v>
      </c>
      <c r="E28" t="inlineStr">
        <is>
          <t>2026-09-10</t>
        </is>
      </c>
      <c r="F28" t="inlineStr">
        <is>
          <t>11:46</t>
        </is>
      </c>
      <c r="G28" t="inlineStr">
        <is>
          <t>sale</t>
        </is>
      </c>
      <c r="H28" t="n">
        <v>-10</v>
      </c>
      <c r="I28" t="n">
        <v>0</v>
      </c>
      <c r="J28" t="n">
        <v>0</v>
      </c>
      <c r="K28" t="inlineStr">
        <is>
          <t>f</t>
        </is>
      </c>
      <c r="L28">
        <f>H28*D28</f>
        <v/>
      </c>
    </row>
    <row r="29">
      <c r="A29" t="inlineStr">
        <is>
          <t>BUDE-INH</t>
        </is>
      </c>
      <c r="B29" t="inlineStr">
        <is>
          <t>Budesonide inhaler 200 mcg</t>
        </is>
      </c>
      <c r="C29" t="inlineStr">
        <is>
          <t>BUDEI27101</t>
        </is>
      </c>
      <c r="D29" t="n">
        <v>131400</v>
      </c>
      <c r="E29" t="inlineStr">
        <is>
          <t>2026-09-21</t>
        </is>
      </c>
      <c r="F29" t="inlineStr">
        <is>
          <t>08:22</t>
        </is>
      </c>
      <c r="G29" t="inlineStr">
        <is>
          <t>receipt</t>
        </is>
      </c>
      <c r="H29" t="n">
        <v>18</v>
      </c>
      <c r="I29" t="n">
        <v>0</v>
      </c>
      <c r="J29" t="n">
        <v>0</v>
      </c>
      <c r="K29" t="inlineStr">
        <is>
          <t>f</t>
        </is>
      </c>
      <c r="L29">
        <f>H29*D29</f>
        <v/>
      </c>
    </row>
    <row r="30">
      <c r="A30" t="inlineStr">
        <is>
          <t>BUDE-INH</t>
        </is>
      </c>
      <c r="B30" t="inlineStr">
        <is>
          <t>Budesonide inhaler 200 mcg</t>
        </is>
      </c>
      <c r="C30" t="inlineStr">
        <is>
          <t>BUDEI28112</t>
        </is>
      </c>
      <c r="D30" t="n">
        <v>138600</v>
      </c>
      <c r="E30" t="inlineStr">
        <is>
          <t>2026-10-10</t>
        </is>
      </c>
      <c r="F30" t="inlineStr">
        <is>
          <t>08:24</t>
        </is>
      </c>
      <c r="G30" t="inlineStr">
        <is>
          <t>receipt</t>
        </is>
      </c>
      <c r="H30" t="n">
        <v>26</v>
      </c>
      <c r="I30" t="n">
        <v>0</v>
      </c>
      <c r="J30" t="n">
        <v>0</v>
      </c>
      <c r="K30" t="inlineStr">
        <is>
          <t>f</t>
        </is>
      </c>
      <c r="L30">
        <f>H30*D30</f>
        <v/>
      </c>
    </row>
    <row r="31">
      <c r="A31" t="inlineStr">
        <is>
          <t>CALC-D3</t>
        </is>
      </c>
      <c r="B31" t="inlineStr">
        <is>
          <t>Calcium + vitamin D3</t>
        </is>
      </c>
      <c r="C31" t="inlineStr">
        <is>
          <t>CALCD26101</t>
        </is>
      </c>
      <c r="D31" t="n">
        <v>1800</v>
      </c>
      <c r="E31" t="inlineStr">
        <is>
          <t>2025-12-16</t>
        </is>
      </c>
      <c r="F31" t="inlineStr">
        <is>
          <t>08:03</t>
        </is>
      </c>
      <c r="G31" t="inlineStr">
        <is>
          <t>receipt</t>
        </is>
      </c>
      <c r="H31" t="n">
        <v>65</v>
      </c>
      <c r="I31" t="n">
        <v>0</v>
      </c>
      <c r="J31" t="n">
        <v>0</v>
      </c>
      <c r="K31" t="inlineStr">
        <is>
          <t>f</t>
        </is>
      </c>
      <c r="L31">
        <f>H31*D31</f>
        <v/>
      </c>
    </row>
    <row r="32">
      <c r="A32" t="inlineStr">
        <is>
          <t>CALC-D3</t>
        </is>
      </c>
      <c r="B32" t="inlineStr">
        <is>
          <t>Calcium + vitamin D3</t>
        </is>
      </c>
      <c r="C32" t="inlineStr">
        <is>
          <t>CALCD26112</t>
        </is>
      </c>
      <c r="D32" t="n">
        <v>1600</v>
      </c>
      <c r="E32" t="inlineStr">
        <is>
          <t>2026-04-17</t>
        </is>
      </c>
      <c r="F32" t="inlineStr">
        <is>
          <t>08:06</t>
        </is>
      </c>
      <c r="G32" t="inlineStr">
        <is>
          <t>receipt</t>
        </is>
      </c>
      <c r="H32" t="n">
        <v>246</v>
      </c>
      <c r="I32" t="n">
        <v>0</v>
      </c>
      <c r="J32" t="n">
        <v>0</v>
      </c>
      <c r="K32" t="inlineStr">
        <is>
          <t>f</t>
        </is>
      </c>
      <c r="L32">
        <f>H32*D32</f>
        <v/>
      </c>
    </row>
    <row r="33">
      <c r="A33" t="inlineStr">
        <is>
          <t>CEFU500</t>
        </is>
      </c>
      <c r="B33" t="inlineStr">
        <is>
          <t>Cefuroxime 500 mg</t>
        </is>
      </c>
      <c r="C33" t="inlineStr">
        <is>
          <t>CEFU527082</t>
        </is>
      </c>
      <c r="D33" t="n">
        <v>5360</v>
      </c>
      <c r="E33" t="inlineStr">
        <is>
          <t>2026-07-14</t>
        </is>
      </c>
      <c r="F33" t="inlineStr">
        <is>
          <t>08:14</t>
        </is>
      </c>
      <c r="G33" t="inlineStr">
        <is>
          <t>receipt</t>
        </is>
      </c>
      <c r="H33" t="n">
        <v>335</v>
      </c>
      <c r="I33" t="n">
        <v>0</v>
      </c>
      <c r="J33" t="n">
        <v>0</v>
      </c>
      <c r="K33" t="inlineStr">
        <is>
          <t>f</t>
        </is>
      </c>
      <c r="L33">
        <f>H33*D33</f>
        <v/>
      </c>
    </row>
    <row r="34">
      <c r="A34" t="inlineStr">
        <is>
          <t>CEFU500</t>
        </is>
      </c>
      <c r="B34" t="inlineStr">
        <is>
          <t>Cefuroxime 500 mg</t>
        </is>
      </c>
      <c r="C34" t="inlineStr">
        <is>
          <t>CEFU528111</t>
        </is>
      </c>
      <c r="D34" t="n">
        <v>6160</v>
      </c>
      <c r="E34" t="inlineStr">
        <is>
          <t>2026-08-26</t>
        </is>
      </c>
      <c r="F34" t="inlineStr">
        <is>
          <t>08:19</t>
        </is>
      </c>
      <c r="G34" t="inlineStr">
        <is>
          <t>receipt</t>
        </is>
      </c>
      <c r="H34" t="n">
        <v>41</v>
      </c>
      <c r="I34" t="n">
        <v>0</v>
      </c>
      <c r="J34" t="n">
        <v>0</v>
      </c>
      <c r="K34" t="inlineStr">
        <is>
          <t>f</t>
        </is>
      </c>
      <c r="L34">
        <f>H34*D34</f>
        <v/>
      </c>
    </row>
    <row r="35">
      <c r="A35" t="inlineStr">
        <is>
          <t>CETI10</t>
        </is>
      </c>
      <c r="B35" t="inlineStr">
        <is>
          <t>Cetirizine 10 mg</t>
        </is>
      </c>
      <c r="C35" t="inlineStr">
        <is>
          <t>CETI128012</t>
        </is>
      </c>
      <c r="D35" t="n">
        <v>624</v>
      </c>
      <c r="E35" t="inlineStr">
        <is>
          <t>2026-06-04</t>
        </is>
      </c>
      <c r="F35" t="inlineStr">
        <is>
          <t>08:09</t>
        </is>
      </c>
      <c r="G35" t="inlineStr">
        <is>
          <t>receipt</t>
        </is>
      </c>
      <c r="H35" t="n">
        <v>24</v>
      </c>
      <c r="I35" t="n">
        <v>0</v>
      </c>
      <c r="J35" t="n">
        <v>0</v>
      </c>
      <c r="K35" t="inlineStr">
        <is>
          <t>f</t>
        </is>
      </c>
      <c r="L35">
        <f>H35*D35</f>
        <v/>
      </c>
    </row>
    <row r="36">
      <c r="A36" t="inlineStr">
        <is>
          <t>CETI10</t>
        </is>
      </c>
      <c r="B36" t="inlineStr">
        <is>
          <t>Cetirizine 10 mg</t>
        </is>
      </c>
      <c r="C36" t="inlineStr">
        <is>
          <t>CETI128091</t>
        </is>
      </c>
      <c r="D36" t="n">
        <v>640</v>
      </c>
      <c r="E36" t="inlineStr">
        <is>
          <t>2026-07-31</t>
        </is>
      </c>
      <c r="F36" t="inlineStr">
        <is>
          <t>08:16</t>
        </is>
      </c>
      <c r="G36" t="inlineStr">
        <is>
          <t>receipt</t>
        </is>
      </c>
      <c r="H36" t="n">
        <v>25</v>
      </c>
      <c r="I36" t="n">
        <v>0</v>
      </c>
      <c r="J36" t="n">
        <v>0</v>
      </c>
      <c r="K36" t="inlineStr">
        <is>
          <t>f</t>
        </is>
      </c>
      <c r="L36">
        <f>H36*D36</f>
        <v/>
      </c>
    </row>
    <row r="37">
      <c r="A37" t="inlineStr">
        <is>
          <t>CHLOR4</t>
        </is>
      </c>
      <c r="B37" t="inlineStr">
        <is>
          <t>Chlorpheniramine 4 mg</t>
        </is>
      </c>
      <c r="C37" t="inlineStr">
        <is>
          <t>CHLOR27111</t>
        </is>
      </c>
      <c r="D37" t="n">
        <v>219</v>
      </c>
      <c r="E37" t="inlineStr">
        <is>
          <t>2026-05-29</t>
        </is>
      </c>
      <c r="F37" t="inlineStr">
        <is>
          <t>08:07</t>
        </is>
      </c>
      <c r="G37" t="inlineStr">
        <is>
          <t>receipt</t>
        </is>
      </c>
      <c r="H37" t="n">
        <v>259</v>
      </c>
      <c r="I37" t="n">
        <v>0</v>
      </c>
      <c r="J37" t="n">
        <v>0</v>
      </c>
      <c r="K37" t="inlineStr">
        <is>
          <t>f</t>
        </is>
      </c>
      <c r="L37">
        <f>H37*D37</f>
        <v/>
      </c>
    </row>
    <row r="38">
      <c r="A38" t="inlineStr">
        <is>
          <t>CHLOR4</t>
        </is>
      </c>
      <c r="B38" t="inlineStr">
        <is>
          <t>Chlorpheniramine 4 mg</t>
        </is>
      </c>
      <c r="C38" t="inlineStr">
        <is>
          <t>CHLOR27122</t>
        </is>
      </c>
      <c r="D38" t="n">
        <v>225</v>
      </c>
      <c r="E38" t="inlineStr">
        <is>
          <t>2026-10-10</t>
        </is>
      </c>
      <c r="F38" t="inlineStr">
        <is>
          <t>08:24</t>
        </is>
      </c>
      <c r="G38" t="inlineStr">
        <is>
          <t>receipt</t>
        </is>
      </c>
      <c r="H38" t="n">
        <v>149</v>
      </c>
      <c r="I38" t="n">
        <v>0</v>
      </c>
      <c r="J38" t="n">
        <v>0</v>
      </c>
      <c r="K38" t="inlineStr">
        <is>
          <t>f</t>
        </is>
      </c>
      <c r="L38">
        <f>H38*D38</f>
        <v/>
      </c>
    </row>
    <row r="39">
      <c r="A39" t="inlineStr">
        <is>
          <t>CIPRO500</t>
        </is>
      </c>
      <c r="B39" t="inlineStr">
        <is>
          <t>Ciprofloxacin 500 mg</t>
        </is>
      </c>
      <c r="C39" t="inlineStr">
        <is>
          <t>CIPRO28122</t>
        </is>
      </c>
      <c r="D39" t="n">
        <v>1920</v>
      </c>
      <c r="E39" t="inlineStr">
        <is>
          <t>2026-07-20</t>
        </is>
      </c>
      <c r="F39" t="inlineStr">
        <is>
          <t>08:15</t>
        </is>
      </c>
      <c r="G39" t="inlineStr">
        <is>
          <t>receipt</t>
        </is>
      </c>
      <c r="H39" t="n">
        <v>337</v>
      </c>
      <c r="I39" t="n">
        <v>0</v>
      </c>
      <c r="J39" t="n">
        <v>0</v>
      </c>
      <c r="K39" t="inlineStr">
        <is>
          <t>f</t>
        </is>
      </c>
      <c r="L39">
        <f>H39*D39</f>
        <v/>
      </c>
    </row>
    <row r="40">
      <c r="A40" t="inlineStr">
        <is>
          <t>CIPRO500</t>
        </is>
      </c>
      <c r="B40" t="inlineStr">
        <is>
          <t>Ciprofloxacin 500 mg</t>
        </is>
      </c>
      <c r="C40" t="inlineStr">
        <is>
          <t>CIPRO28101</t>
        </is>
      </c>
      <c r="D40" t="n">
        <v>2100</v>
      </c>
      <c r="E40" t="inlineStr">
        <is>
          <t>2026-08-26</t>
        </is>
      </c>
      <c r="F40" t="inlineStr">
        <is>
          <t>08:19</t>
        </is>
      </c>
      <c r="G40" t="inlineStr">
        <is>
          <t>receipt</t>
        </is>
      </c>
      <c r="H40" t="n">
        <v>314</v>
      </c>
      <c r="I40" t="n">
        <v>0</v>
      </c>
      <c r="J40" t="n">
        <v>0</v>
      </c>
      <c r="K40" t="inlineStr">
        <is>
          <t>f</t>
        </is>
      </c>
      <c r="L40">
        <f>H40*D40</f>
        <v/>
      </c>
    </row>
    <row r="41">
      <c r="A41" t="inlineStr">
        <is>
          <t>CLOT-CR</t>
        </is>
      </c>
      <c r="B41" t="inlineStr">
        <is>
          <t>Clotrimazole cream 1%</t>
        </is>
      </c>
      <c r="C41" t="inlineStr">
        <is>
          <t>CLOTC27061</t>
        </is>
      </c>
      <c r="D41" t="n">
        <v>14040</v>
      </c>
      <c r="E41" t="inlineStr">
        <is>
          <t>2026-06-13</t>
        </is>
      </c>
      <c r="F41" t="inlineStr">
        <is>
          <t>08:11</t>
        </is>
      </c>
      <c r="G41" t="inlineStr">
        <is>
          <t>receipt</t>
        </is>
      </c>
      <c r="H41" t="n">
        <v>9</v>
      </c>
      <c r="I41" t="n">
        <v>0</v>
      </c>
      <c r="J41" t="n">
        <v>0</v>
      </c>
      <c r="K41" t="inlineStr">
        <is>
          <t>f</t>
        </is>
      </c>
      <c r="L41">
        <f>H41*D41</f>
        <v/>
      </c>
    </row>
    <row r="42">
      <c r="A42" t="inlineStr">
        <is>
          <t>CLOT-CR</t>
        </is>
      </c>
      <c r="B42" t="inlineStr">
        <is>
          <t>Clotrimazole cream 1%</t>
        </is>
      </c>
      <c r="C42" t="inlineStr">
        <is>
          <t>CLOTC28022</t>
        </is>
      </c>
      <c r="D42" t="n">
        <v>13320</v>
      </c>
      <c r="E42" t="inlineStr">
        <is>
          <t>2026-07-14</t>
        </is>
      </c>
      <c r="F42" t="inlineStr">
        <is>
          <t>08:14</t>
        </is>
      </c>
      <c r="G42" t="inlineStr">
        <is>
          <t>receipt</t>
        </is>
      </c>
      <c r="H42" t="n">
        <v>5</v>
      </c>
      <c r="I42" t="n">
        <v>0</v>
      </c>
      <c r="J42" t="n">
        <v>0</v>
      </c>
      <c r="K42" t="inlineStr">
        <is>
          <t>f</t>
        </is>
      </c>
      <c r="L42">
        <f>H42*D42</f>
        <v/>
      </c>
    </row>
    <row r="43">
      <c r="A43" t="inlineStr">
        <is>
          <t>DEXTRO-SY</t>
        </is>
      </c>
      <c r="B43" t="inlineStr">
        <is>
          <t>Dextromethorphan syrup</t>
        </is>
      </c>
      <c r="C43" t="inlineStr">
        <is>
          <t>DEXTR29042</t>
        </is>
      </c>
      <c r="D43" t="n">
        <v>34650</v>
      </c>
      <c r="E43" t="inlineStr">
        <is>
          <t>2026-08-10</t>
        </is>
      </c>
      <c r="F43" t="inlineStr">
        <is>
          <t>08:17</t>
        </is>
      </c>
      <c r="G43" t="inlineStr">
        <is>
          <t>receipt</t>
        </is>
      </c>
      <c r="H43" t="n">
        <v>10</v>
      </c>
      <c r="I43" t="n">
        <v>0</v>
      </c>
      <c r="J43" t="n">
        <v>0</v>
      </c>
      <c r="K43" t="inlineStr">
        <is>
          <t>f</t>
        </is>
      </c>
      <c r="L43">
        <f>H43*D43</f>
        <v/>
      </c>
    </row>
    <row r="44">
      <c r="A44" t="inlineStr">
        <is>
          <t>DEXTRO-SY</t>
        </is>
      </c>
      <c r="B44" t="inlineStr">
        <is>
          <t>Dextromethorphan syrup</t>
        </is>
      </c>
      <c r="C44" t="inlineStr">
        <is>
          <t>DEXTR29021</t>
        </is>
      </c>
      <c r="D44" t="n">
        <v>29700</v>
      </c>
      <c r="E44" t="inlineStr">
        <is>
          <t>2026-10-02</t>
        </is>
      </c>
      <c r="F44" t="inlineStr">
        <is>
          <t>08:23</t>
        </is>
      </c>
      <c r="G44" t="inlineStr">
        <is>
          <t>receipt</t>
        </is>
      </c>
      <c r="H44" t="n">
        <v>26</v>
      </c>
      <c r="I44" t="n">
        <v>0</v>
      </c>
      <c r="J44" t="n">
        <v>0</v>
      </c>
      <c r="K44" t="inlineStr">
        <is>
          <t>f</t>
        </is>
      </c>
      <c r="L44">
        <f>H44*D44</f>
        <v/>
      </c>
    </row>
    <row r="45">
      <c r="A45" t="inlineStr">
        <is>
          <t>DIAZ5</t>
        </is>
      </c>
      <c r="B45" t="inlineStr">
        <is>
          <t>Diazepam 5 mg</t>
        </is>
      </c>
      <c r="C45" t="inlineStr">
        <is>
          <t>DIAZ526091</t>
        </is>
      </c>
      <c r="D45" t="n">
        <v>536</v>
      </c>
      <c r="E45" t="inlineStr">
        <is>
          <t>2025-10-26</t>
        </is>
      </c>
      <c r="F45" t="inlineStr">
        <is>
          <t>08:02</t>
        </is>
      </c>
      <c r="G45" t="inlineStr">
        <is>
          <t>receipt</t>
        </is>
      </c>
      <c r="H45" t="n">
        <v>5</v>
      </c>
      <c r="I45" t="n">
        <v>0</v>
      </c>
      <c r="J45" t="n">
        <v>0</v>
      </c>
      <c r="K45" t="inlineStr">
        <is>
          <t>f</t>
        </is>
      </c>
      <c r="L45">
        <f>H45*D45</f>
        <v/>
      </c>
    </row>
    <row r="46">
      <c r="A46" t="inlineStr">
        <is>
          <t>DIAZ5</t>
        </is>
      </c>
      <c r="B46" t="inlineStr">
        <is>
          <t>Diazepam 5 mg</t>
        </is>
      </c>
      <c r="C46" t="inlineStr">
        <is>
          <t>DIAZ526112</t>
        </is>
      </c>
      <c r="D46" t="n">
        <v>568</v>
      </c>
      <c r="E46" t="inlineStr">
        <is>
          <t>2026-03-02</t>
        </is>
      </c>
      <c r="F46" t="inlineStr">
        <is>
          <t>08:05</t>
        </is>
      </c>
      <c r="G46" t="inlineStr">
        <is>
          <t>receipt</t>
        </is>
      </c>
      <c r="H46" t="n">
        <v>4</v>
      </c>
      <c r="I46" t="n">
        <v>0</v>
      </c>
      <c r="J46" t="n">
        <v>0</v>
      </c>
      <c r="K46" t="inlineStr">
        <is>
          <t>f</t>
        </is>
      </c>
      <c r="L46">
        <f>H46*D46</f>
        <v/>
      </c>
    </row>
    <row r="47">
      <c r="A47" t="inlineStr">
        <is>
          <t>DICLO-GEL</t>
        </is>
      </c>
      <c r="B47" t="inlineStr">
        <is>
          <t>Diclofenac gel 1%</t>
        </is>
      </c>
      <c r="C47" t="inlineStr">
        <is>
          <t>DICLO28121</t>
        </is>
      </c>
      <c r="D47" t="n">
        <v>26250</v>
      </c>
      <c r="E47" t="inlineStr">
        <is>
          <t>2026-05-29</t>
        </is>
      </c>
      <c r="F47" t="inlineStr">
        <is>
          <t>08:07</t>
        </is>
      </c>
      <c r="G47" t="inlineStr">
        <is>
          <t>receipt</t>
        </is>
      </c>
      <c r="H47" t="n">
        <v>23</v>
      </c>
      <c r="I47" t="n">
        <v>0</v>
      </c>
      <c r="J47" t="n">
        <v>0</v>
      </c>
      <c r="K47" t="inlineStr">
        <is>
          <t>f</t>
        </is>
      </c>
      <c r="L47">
        <f>H47*D47</f>
        <v/>
      </c>
    </row>
    <row r="48">
      <c r="A48" t="inlineStr">
        <is>
          <t>DICLO-GEL</t>
        </is>
      </c>
      <c r="B48" t="inlineStr">
        <is>
          <t>Diclofenac gel 1%</t>
        </is>
      </c>
      <c r="C48" t="inlineStr">
        <is>
          <t>DICLO29012</t>
        </is>
      </c>
      <c r="D48" t="n">
        <v>21000</v>
      </c>
      <c r="E48" t="inlineStr">
        <is>
          <t>2026-07-01</t>
        </is>
      </c>
      <c r="F48" t="inlineStr">
        <is>
          <t>08:13</t>
        </is>
      </c>
      <c r="G48" t="inlineStr">
        <is>
          <t>receipt</t>
        </is>
      </c>
      <c r="H48" t="n">
        <v>12</v>
      </c>
      <c r="I48" t="n">
        <v>0</v>
      </c>
      <c r="J48" t="n">
        <v>0</v>
      </c>
      <c r="K48" t="inlineStr">
        <is>
          <t>f</t>
        </is>
      </c>
      <c r="L48">
        <f>H48*D48</f>
        <v/>
      </c>
    </row>
    <row r="49">
      <c r="A49" t="inlineStr">
        <is>
          <t>DOMP10</t>
        </is>
      </c>
      <c r="B49" t="inlineStr">
        <is>
          <t>Domperidone 10 mg</t>
        </is>
      </c>
      <c r="C49" t="inlineStr">
        <is>
          <t>DOMP126101</t>
        </is>
      </c>
      <c r="D49" t="n">
        <v>816</v>
      </c>
      <c r="E49" t="inlineStr">
        <is>
          <t>2026-01-21</t>
        </is>
      </c>
      <c r="F49" t="inlineStr">
        <is>
          <t>08:04</t>
        </is>
      </c>
      <c r="G49" t="inlineStr">
        <is>
          <t>receipt</t>
        </is>
      </c>
      <c r="H49" t="n">
        <v>333</v>
      </c>
      <c r="I49" t="n">
        <v>0</v>
      </c>
      <c r="J49" t="n">
        <v>0</v>
      </c>
      <c r="K49" t="inlineStr">
        <is>
          <t>f</t>
        </is>
      </c>
      <c r="L49">
        <f>H49*D49</f>
        <v/>
      </c>
    </row>
    <row r="50">
      <c r="A50" t="inlineStr">
        <is>
          <t>DOMP10</t>
        </is>
      </c>
      <c r="B50" t="inlineStr">
        <is>
          <t>Domperidone 10 mg</t>
        </is>
      </c>
      <c r="C50" t="inlineStr">
        <is>
          <t>DOMP127012</t>
        </is>
      </c>
      <c r="D50" t="n">
        <v>888</v>
      </c>
      <c r="E50" t="inlineStr">
        <is>
          <t>2026-01-21</t>
        </is>
      </c>
      <c r="F50" t="inlineStr">
        <is>
          <t>08:04</t>
        </is>
      </c>
      <c r="G50" t="inlineStr">
        <is>
          <t>receipt</t>
        </is>
      </c>
      <c r="H50" t="n">
        <v>330</v>
      </c>
      <c r="I50" t="n">
        <v>0</v>
      </c>
      <c r="J50" t="n">
        <v>0</v>
      </c>
      <c r="K50" t="inlineStr">
        <is>
          <t>f</t>
        </is>
      </c>
      <c r="L50">
        <f>H50*D50</f>
        <v/>
      </c>
    </row>
    <row r="51">
      <c r="A51" t="inlineStr">
        <is>
          <t>EFF-PARA</t>
        </is>
      </c>
      <c r="B51" t="inlineStr">
        <is>
          <t>Paracetamol effervescent 500 mg</t>
        </is>
      </c>
      <c r="C51" t="inlineStr">
        <is>
          <t>EFFPA26101</t>
        </is>
      </c>
      <c r="D51" t="n">
        <v>1900</v>
      </c>
      <c r="E51" t="inlineStr">
        <is>
          <t>2025-12-16</t>
        </is>
      </c>
      <c r="F51" t="inlineStr">
        <is>
          <t>08:03</t>
        </is>
      </c>
      <c r="G51" t="inlineStr">
        <is>
          <t>receipt</t>
        </is>
      </c>
      <c r="H51" t="n">
        <v>316</v>
      </c>
      <c r="I51" t="n">
        <v>0</v>
      </c>
      <c r="J51" t="n">
        <v>0</v>
      </c>
      <c r="K51" t="inlineStr">
        <is>
          <t>f</t>
        </is>
      </c>
      <c r="L51">
        <f>H51*D51</f>
        <v/>
      </c>
    </row>
    <row r="52">
      <c r="A52" t="inlineStr">
        <is>
          <t>EFF-PARA</t>
        </is>
      </c>
      <c r="B52" t="inlineStr">
        <is>
          <t>Paracetamol effervescent 500 mg</t>
        </is>
      </c>
      <c r="C52" t="inlineStr">
        <is>
          <t>EFFPA26112</t>
        </is>
      </c>
      <c r="D52" t="n">
        <v>1925</v>
      </c>
      <c r="E52" t="inlineStr">
        <is>
          <t>2026-06-22</t>
        </is>
      </c>
      <c r="F52" t="inlineStr">
        <is>
          <t>08:12</t>
        </is>
      </c>
      <c r="G52" t="inlineStr">
        <is>
          <t>receipt</t>
        </is>
      </c>
      <c r="H52" t="n">
        <v>49</v>
      </c>
      <c r="I52" t="n">
        <v>0</v>
      </c>
      <c r="J52" t="n">
        <v>0</v>
      </c>
      <c r="K52" t="inlineStr">
        <is>
          <t>f</t>
        </is>
      </c>
      <c r="L52">
        <f>H52*D52</f>
        <v/>
      </c>
    </row>
    <row r="53">
      <c r="A53" t="inlineStr">
        <is>
          <t>ENAL5</t>
        </is>
      </c>
      <c r="B53" t="inlineStr">
        <is>
          <t>Enalapril 5 mg</t>
        </is>
      </c>
      <c r="C53" t="inlineStr">
        <is>
          <t>ENAL528072</t>
        </is>
      </c>
      <c r="D53" t="n">
        <v>488</v>
      </c>
      <c r="E53" t="inlineStr">
        <is>
          <t>2026-07-01</t>
        </is>
      </c>
      <c r="F53" t="inlineStr">
        <is>
          <t>08:13</t>
        </is>
      </c>
      <c r="G53" t="inlineStr">
        <is>
          <t>receipt</t>
        </is>
      </c>
      <c r="H53" t="n">
        <v>157</v>
      </c>
      <c r="I53" t="n">
        <v>0</v>
      </c>
      <c r="J53" t="n">
        <v>0</v>
      </c>
      <c r="K53" t="inlineStr">
        <is>
          <t>f</t>
        </is>
      </c>
      <c r="L53">
        <f>H53*D53</f>
        <v/>
      </c>
    </row>
    <row r="54">
      <c r="A54" t="inlineStr">
        <is>
          <t>ENAL5</t>
        </is>
      </c>
      <c r="B54" t="inlineStr">
        <is>
          <t>Enalapril 5 mg</t>
        </is>
      </c>
      <c r="C54" t="inlineStr">
        <is>
          <t>ENAL528121</t>
        </is>
      </c>
      <c r="D54" t="n">
        <v>560</v>
      </c>
      <c r="E54" t="inlineStr">
        <is>
          <t>2026-10-10</t>
        </is>
      </c>
      <c r="F54" t="inlineStr">
        <is>
          <t>08:24</t>
        </is>
      </c>
      <c r="G54" t="inlineStr">
        <is>
          <t>receipt</t>
        </is>
      </c>
      <c r="H54" t="n">
        <v>152</v>
      </c>
      <c r="I54" t="n">
        <v>0</v>
      </c>
      <c r="J54" t="n">
        <v>0</v>
      </c>
      <c r="K54" t="inlineStr">
        <is>
          <t>f</t>
        </is>
      </c>
      <c r="L54">
        <f>H54*D54</f>
        <v/>
      </c>
    </row>
    <row r="55">
      <c r="A55" t="inlineStr">
        <is>
          <t>ESOM40</t>
        </is>
      </c>
      <c r="B55" t="inlineStr">
        <is>
          <t>Esomeprazole 40 mg</t>
        </is>
      </c>
      <c r="C55" t="inlineStr">
        <is>
          <t>ESOM426091</t>
        </is>
      </c>
      <c r="D55" t="n">
        <v>4970</v>
      </c>
      <c r="E55" t="inlineStr">
        <is>
          <t>2025-08-31</t>
        </is>
      </c>
      <c r="F55" t="inlineStr">
        <is>
          <t>08:01</t>
        </is>
      </c>
      <c r="G55" t="inlineStr">
        <is>
          <t>receipt</t>
        </is>
      </c>
      <c r="H55" t="n">
        <v>78</v>
      </c>
      <c r="I55" t="n">
        <v>0</v>
      </c>
      <c r="J55" t="n">
        <v>0</v>
      </c>
      <c r="K55" t="inlineStr">
        <is>
          <t>f</t>
        </is>
      </c>
      <c r="L55">
        <f>H55*D55</f>
        <v/>
      </c>
    </row>
    <row r="56">
      <c r="A56" t="inlineStr">
        <is>
          <t>ESOM40</t>
        </is>
      </c>
      <c r="B56" t="inlineStr">
        <is>
          <t>Esomeprazole 40 mg</t>
        </is>
      </c>
      <c r="C56" t="inlineStr">
        <is>
          <t>ESOM426112</t>
        </is>
      </c>
      <c r="D56" t="n">
        <v>5250</v>
      </c>
      <c r="E56" t="inlineStr">
        <is>
          <t>2026-04-17</t>
        </is>
      </c>
      <c r="F56" t="inlineStr">
        <is>
          <t>08:06</t>
        </is>
      </c>
      <c r="G56" t="inlineStr">
        <is>
          <t>receipt</t>
        </is>
      </c>
      <c r="H56" t="n">
        <v>330</v>
      </c>
      <c r="I56" t="n">
        <v>0</v>
      </c>
      <c r="J56" t="n">
        <v>0</v>
      </c>
      <c r="K56" t="inlineStr">
        <is>
          <t>f</t>
        </is>
      </c>
      <c r="L56">
        <f>H56*D56</f>
        <v/>
      </c>
    </row>
    <row r="57">
      <c r="A57" t="inlineStr">
        <is>
          <t>FERR</t>
        </is>
      </c>
      <c r="B57" t="inlineStr">
        <is>
          <t>Ferrous fumarate + folic acid</t>
        </is>
      </c>
      <c r="C57" t="inlineStr">
        <is>
          <t>FERR29012</t>
        </is>
      </c>
      <c r="D57" t="n">
        <v>975</v>
      </c>
      <c r="E57" t="inlineStr">
        <is>
          <t>2026-07-20</t>
        </is>
      </c>
      <c r="F57" t="inlineStr">
        <is>
          <t>08:15</t>
        </is>
      </c>
      <c r="G57" t="inlineStr">
        <is>
          <t>receipt</t>
        </is>
      </c>
      <c r="H57" t="n">
        <v>318</v>
      </c>
      <c r="I57" t="n">
        <v>0</v>
      </c>
      <c r="J57" t="n">
        <v>0</v>
      </c>
      <c r="K57" t="inlineStr">
        <is>
          <t>f</t>
        </is>
      </c>
      <c r="L57">
        <f>H57*D57</f>
        <v/>
      </c>
    </row>
    <row r="58">
      <c r="A58" t="inlineStr">
        <is>
          <t>FERR</t>
        </is>
      </c>
      <c r="B58" t="inlineStr">
        <is>
          <t>Ferrous fumarate + folic acid</t>
        </is>
      </c>
      <c r="C58" t="inlineStr">
        <is>
          <t>FERR27121</t>
        </is>
      </c>
      <c r="D58" t="n">
        <v>1095</v>
      </c>
      <c r="E58" t="inlineStr">
        <is>
          <t>2026-07-31</t>
        </is>
      </c>
      <c r="F58" t="inlineStr">
        <is>
          <t>08:16</t>
        </is>
      </c>
      <c r="G58" t="inlineStr">
        <is>
          <t>receipt</t>
        </is>
      </c>
      <c r="H58" t="n">
        <v>202</v>
      </c>
      <c r="I58" t="n">
        <v>0</v>
      </c>
      <c r="J58" t="n">
        <v>0</v>
      </c>
      <c r="K58" t="inlineStr">
        <is>
          <t>f</t>
        </is>
      </c>
      <c r="L58">
        <f>H58*D58</f>
        <v/>
      </c>
    </row>
    <row r="59">
      <c r="A59" t="inlineStr">
        <is>
          <t>FEXO180</t>
        </is>
      </c>
      <c r="B59" t="inlineStr">
        <is>
          <t>Fexofenadine 180 mg</t>
        </is>
      </c>
      <c r="C59" t="inlineStr">
        <is>
          <t>FEXO128062</t>
        </is>
      </c>
      <c r="D59" t="n">
        <v>3420</v>
      </c>
      <c r="E59" t="inlineStr">
        <is>
          <t>2026-09-21</t>
        </is>
      </c>
      <c r="F59" t="inlineStr">
        <is>
          <t>08:22</t>
        </is>
      </c>
      <c r="G59" t="inlineStr">
        <is>
          <t>receipt</t>
        </is>
      </c>
      <c r="H59" t="n">
        <v>262</v>
      </c>
      <c r="I59" t="n">
        <v>0</v>
      </c>
      <c r="J59" t="n">
        <v>0</v>
      </c>
      <c r="K59" t="inlineStr">
        <is>
          <t>f</t>
        </is>
      </c>
      <c r="L59">
        <f>H59*D59</f>
        <v/>
      </c>
    </row>
    <row r="60">
      <c r="A60" t="inlineStr">
        <is>
          <t>FEXO180</t>
        </is>
      </c>
      <c r="B60" t="inlineStr">
        <is>
          <t>Fexofenadine 180 mg</t>
        </is>
      </c>
      <c r="C60" t="inlineStr">
        <is>
          <t>FEXO128041</t>
        </is>
      </c>
      <c r="D60" t="n">
        <v>3600</v>
      </c>
      <c r="E60" t="inlineStr">
        <is>
          <t>2026-10-10</t>
        </is>
      </c>
      <c r="F60" t="inlineStr">
        <is>
          <t>08:24</t>
        </is>
      </c>
      <c r="G60" t="inlineStr">
        <is>
          <t>receipt</t>
        </is>
      </c>
      <c r="H60" t="n">
        <v>226</v>
      </c>
      <c r="I60" t="n">
        <v>0</v>
      </c>
      <c r="J60" t="n">
        <v>0</v>
      </c>
      <c r="K60" t="inlineStr">
        <is>
          <t>f</t>
        </is>
      </c>
      <c r="L60">
        <f>H60*D60</f>
        <v/>
      </c>
    </row>
    <row r="61">
      <c r="A61" t="inlineStr">
        <is>
          <t>FUSI-CR</t>
        </is>
      </c>
      <c r="B61" t="inlineStr">
        <is>
          <t>Fusidic acid cream 2%</t>
        </is>
      </c>
      <c r="C61" t="inlineStr">
        <is>
          <t>FUSIC28122</t>
        </is>
      </c>
      <c r="D61" t="n">
        <v>50700</v>
      </c>
      <c r="E61" t="inlineStr">
        <is>
          <t>2026-06-13</t>
        </is>
      </c>
      <c r="F61" t="inlineStr">
        <is>
          <t>08:11</t>
        </is>
      </c>
      <c r="G61" t="inlineStr">
        <is>
          <t>receipt</t>
        </is>
      </c>
      <c r="H61" t="n">
        <v>21</v>
      </c>
      <c r="I61" t="n">
        <v>0</v>
      </c>
      <c r="J61" t="n">
        <v>0</v>
      </c>
      <c r="K61" t="inlineStr">
        <is>
          <t>f</t>
        </is>
      </c>
      <c r="L61">
        <f>H61*D61</f>
        <v/>
      </c>
    </row>
    <row r="62">
      <c r="A62" t="inlineStr">
        <is>
          <t>FUSI-CR</t>
        </is>
      </c>
      <c r="B62" t="inlineStr">
        <is>
          <t>Fusidic acid cream 2%</t>
        </is>
      </c>
      <c r="C62" t="inlineStr">
        <is>
          <t>FUSIC28061</t>
        </is>
      </c>
      <c r="D62" t="n">
        <v>46800</v>
      </c>
      <c r="E62" t="inlineStr">
        <is>
          <t>2026-09-03</t>
        </is>
      </c>
      <c r="F62" t="inlineStr">
        <is>
          <t>08:20</t>
        </is>
      </c>
      <c r="G62" t="inlineStr">
        <is>
          <t>receipt</t>
        </is>
      </c>
      <c r="H62" t="n">
        <v>27</v>
      </c>
      <c r="I62" t="n">
        <v>0</v>
      </c>
      <c r="J62" t="n">
        <v>0</v>
      </c>
      <c r="K62" t="inlineStr">
        <is>
          <t>f</t>
        </is>
      </c>
      <c r="L62">
        <f>H62*D62</f>
        <v/>
      </c>
    </row>
    <row r="63">
      <c r="A63" t="inlineStr">
        <is>
          <t>GLIC30</t>
        </is>
      </c>
      <c r="B63" t="inlineStr">
        <is>
          <t>Gliclazide MR 30 mg</t>
        </is>
      </c>
      <c r="C63" t="inlineStr">
        <is>
          <t>GLIC327092</t>
        </is>
      </c>
      <c r="D63" t="n">
        <v>1932</v>
      </c>
      <c r="E63" t="inlineStr">
        <is>
          <t>2026-08-26</t>
        </is>
      </c>
      <c r="F63" t="inlineStr">
        <is>
          <t>08:19</t>
        </is>
      </c>
      <c r="G63" t="inlineStr">
        <is>
          <t>receipt</t>
        </is>
      </c>
      <c r="H63" t="n">
        <v>204</v>
      </c>
      <c r="I63" t="n">
        <v>0</v>
      </c>
      <c r="J63" t="n">
        <v>0</v>
      </c>
      <c r="K63" t="inlineStr">
        <is>
          <t>f</t>
        </is>
      </c>
      <c r="L63">
        <f>H63*D63</f>
        <v/>
      </c>
    </row>
    <row r="64">
      <c r="A64" t="inlineStr">
        <is>
          <t>GLIC30</t>
        </is>
      </c>
      <c r="B64" t="inlineStr">
        <is>
          <t>Gliclazide MR 30 mg</t>
        </is>
      </c>
      <c r="C64" t="inlineStr">
        <is>
          <t>GLIC328101</t>
        </is>
      </c>
      <c r="D64" t="n">
        <v>1680</v>
      </c>
      <c r="E64" t="inlineStr">
        <is>
          <t>2026-09-11</t>
        </is>
      </c>
      <c r="F64" t="inlineStr">
        <is>
          <t>08:21</t>
        </is>
      </c>
      <c r="G64" t="inlineStr">
        <is>
          <t>receipt</t>
        </is>
      </c>
      <c r="H64" t="n">
        <v>396</v>
      </c>
      <c r="I64" t="n">
        <v>0</v>
      </c>
      <c r="J64" t="n">
        <v>0</v>
      </c>
      <c r="K64" t="inlineStr">
        <is>
          <t>f</t>
        </is>
      </c>
      <c r="L64">
        <f>H64*D64</f>
        <v/>
      </c>
    </row>
    <row r="65">
      <c r="A65" t="inlineStr">
        <is>
          <t>GLUCO500</t>
        </is>
      </c>
      <c r="B65" t="inlineStr">
        <is>
          <t>Glucosamine 500 mg</t>
        </is>
      </c>
      <c r="C65" t="inlineStr">
        <is>
          <t>GLUCO28111</t>
        </is>
      </c>
      <c r="D65" t="n">
        <v>2660</v>
      </c>
      <c r="E65" t="inlineStr">
        <is>
          <t>2026-07-14</t>
        </is>
      </c>
      <c r="F65" t="inlineStr">
        <is>
          <t>08:14</t>
        </is>
      </c>
      <c r="G65" t="inlineStr">
        <is>
          <t>receipt</t>
        </is>
      </c>
      <c r="H65" t="n">
        <v>129</v>
      </c>
      <c r="I65" t="n">
        <v>0</v>
      </c>
      <c r="J65" t="n">
        <v>0</v>
      </c>
      <c r="K65" t="inlineStr">
        <is>
          <t>f</t>
        </is>
      </c>
      <c r="L65">
        <f>H65*D65</f>
        <v/>
      </c>
    </row>
    <row r="66">
      <c r="A66" t="inlineStr">
        <is>
          <t>GLUCO500</t>
        </is>
      </c>
      <c r="B66" t="inlineStr">
        <is>
          <t>Glucosamine 500 mg</t>
        </is>
      </c>
      <c r="C66" t="inlineStr">
        <is>
          <t>GLUCO28032</t>
        </is>
      </c>
      <c r="D66" t="n">
        <v>2100</v>
      </c>
      <c r="E66" t="inlineStr">
        <is>
          <t>2026-08-26</t>
        </is>
      </c>
      <c r="F66" t="inlineStr">
        <is>
          <t>08:19</t>
        </is>
      </c>
      <c r="G66" t="inlineStr">
        <is>
          <t>receipt</t>
        </is>
      </c>
      <c r="H66" t="n">
        <v>249</v>
      </c>
      <c r="I66" t="n">
        <v>0</v>
      </c>
      <c r="J66" t="n">
        <v>0</v>
      </c>
      <c r="K66" t="inlineStr">
        <is>
          <t>f</t>
        </is>
      </c>
      <c r="L66">
        <f>H66*D66</f>
        <v/>
      </c>
    </row>
    <row r="67">
      <c r="A67" t="inlineStr">
        <is>
          <t>HYDRO-CR</t>
        </is>
      </c>
      <c r="B67" t="inlineStr">
        <is>
          <t>Hydrocortisone cream 1%</t>
        </is>
      </c>
      <c r="C67" t="inlineStr">
        <is>
          <t>HYDRO26091</t>
        </is>
      </c>
      <c r="D67" t="n">
        <v>15840</v>
      </c>
      <c r="E67" t="inlineStr">
        <is>
          <t>2025-12-16</t>
        </is>
      </c>
      <c r="F67" t="inlineStr">
        <is>
          <t>08:03</t>
        </is>
      </c>
      <c r="G67" t="inlineStr">
        <is>
          <t>receipt</t>
        </is>
      </c>
      <c r="H67" t="n">
        <v>20</v>
      </c>
      <c r="I67" t="n">
        <v>0</v>
      </c>
      <c r="J67" t="n">
        <v>0</v>
      </c>
      <c r="K67" t="inlineStr">
        <is>
          <t>f</t>
        </is>
      </c>
      <c r="L67">
        <f>H67*D67</f>
        <v/>
      </c>
    </row>
    <row r="68">
      <c r="A68" t="inlineStr">
        <is>
          <t>HYDRO-CR</t>
        </is>
      </c>
      <c r="B68" t="inlineStr">
        <is>
          <t>Hydrocortisone cream 1%</t>
        </is>
      </c>
      <c r="C68" t="inlineStr">
        <is>
          <t>HYDRO26122</t>
        </is>
      </c>
      <c r="D68" t="n">
        <v>14520</v>
      </c>
      <c r="E68" t="inlineStr">
        <is>
          <t>2026-01-21</t>
        </is>
      </c>
      <c r="F68" t="inlineStr">
        <is>
          <t>08:04</t>
        </is>
      </c>
      <c r="G68" t="inlineStr">
        <is>
          <t>receipt</t>
        </is>
      </c>
      <c r="H68" t="n">
        <v>6</v>
      </c>
      <c r="I68" t="n">
        <v>0</v>
      </c>
      <c r="J68" t="n">
        <v>0</v>
      </c>
      <c r="K68" t="inlineStr">
        <is>
          <t>f</t>
        </is>
      </c>
      <c r="L68">
        <f>H68*D68</f>
        <v/>
      </c>
    </row>
    <row r="69">
      <c r="A69" t="inlineStr">
        <is>
          <t>IBU400</t>
        </is>
      </c>
      <c r="B69" t="inlineStr">
        <is>
          <t>Ibuprofen 400 mg</t>
        </is>
      </c>
      <c r="C69" t="inlineStr">
        <is>
          <t>IBU4028051</t>
        </is>
      </c>
      <c r="D69" t="n">
        <v>948</v>
      </c>
      <c r="E69" t="inlineStr">
        <is>
          <t>2026-07-31</t>
        </is>
      </c>
      <c r="F69" t="inlineStr">
        <is>
          <t>08:16</t>
        </is>
      </c>
      <c r="G69" t="inlineStr">
        <is>
          <t>receipt</t>
        </is>
      </c>
      <c r="H69" t="n">
        <v>195</v>
      </c>
      <c r="I69" t="n">
        <v>0</v>
      </c>
      <c r="J69" t="n">
        <v>0</v>
      </c>
      <c r="K69" t="inlineStr">
        <is>
          <t>f</t>
        </is>
      </c>
      <c r="L69">
        <f>H69*D69</f>
        <v/>
      </c>
    </row>
    <row r="70">
      <c r="A70" t="inlineStr">
        <is>
          <t>IBU400</t>
        </is>
      </c>
      <c r="B70" t="inlineStr">
        <is>
          <t>Ibuprofen 400 mg</t>
        </is>
      </c>
      <c r="C70" t="inlineStr">
        <is>
          <t>IBU4028122</t>
        </is>
      </c>
      <c r="D70" t="n">
        <v>756</v>
      </c>
      <c r="E70" t="inlineStr">
        <is>
          <t>2026-10-02</t>
        </is>
      </c>
      <c r="F70" t="inlineStr">
        <is>
          <t>08:23</t>
        </is>
      </c>
      <c r="G70" t="inlineStr">
        <is>
          <t>receipt</t>
        </is>
      </c>
      <c r="H70" t="n">
        <v>221</v>
      </c>
      <c r="I70" t="n">
        <v>0</v>
      </c>
      <c r="J70" t="n">
        <v>0</v>
      </c>
      <c r="K70" t="inlineStr">
        <is>
          <t>f</t>
        </is>
      </c>
      <c r="L70">
        <f>H70*D70</f>
        <v/>
      </c>
    </row>
    <row r="71">
      <c r="A71" t="inlineStr">
        <is>
          <t>LEVO50</t>
        </is>
      </c>
      <c r="B71" t="inlineStr">
        <is>
          <t>Levothyroxine 50 mcg</t>
        </is>
      </c>
      <c r="C71" t="inlineStr">
        <is>
          <t>LEVO526091</t>
        </is>
      </c>
      <c r="D71" t="n">
        <v>930</v>
      </c>
      <c r="E71" t="inlineStr">
        <is>
          <t>2025-10-26</t>
        </is>
      </c>
      <c r="F71" t="inlineStr">
        <is>
          <t>08:02</t>
        </is>
      </c>
      <c r="G71" t="inlineStr">
        <is>
          <t>receipt</t>
        </is>
      </c>
      <c r="H71" t="n">
        <v>349</v>
      </c>
      <c r="I71" t="n">
        <v>0</v>
      </c>
      <c r="J71" t="n">
        <v>0</v>
      </c>
      <c r="K71" t="inlineStr">
        <is>
          <t>f</t>
        </is>
      </c>
      <c r="L71">
        <f>H71*D71</f>
        <v/>
      </c>
    </row>
    <row r="72">
      <c r="A72" t="inlineStr">
        <is>
          <t>LEVO50</t>
        </is>
      </c>
      <c r="B72" t="inlineStr">
        <is>
          <t>Levothyroxine 50 mcg</t>
        </is>
      </c>
      <c r="C72" t="inlineStr">
        <is>
          <t>LEVO526122</t>
        </is>
      </c>
      <c r="D72" t="n">
        <v>1035</v>
      </c>
      <c r="E72" t="inlineStr">
        <is>
          <t>2026-06-10</t>
        </is>
      </c>
      <c r="F72" t="inlineStr">
        <is>
          <t>08:10</t>
        </is>
      </c>
      <c r="G72" t="inlineStr">
        <is>
          <t>receipt</t>
        </is>
      </c>
      <c r="H72" t="n">
        <v>369</v>
      </c>
      <c r="I72" t="n">
        <v>0</v>
      </c>
      <c r="J72" t="n">
        <v>0</v>
      </c>
      <c r="K72" t="inlineStr">
        <is>
          <t>f</t>
        </is>
      </c>
      <c r="L72">
        <f>H72*D72</f>
        <v/>
      </c>
    </row>
    <row r="73">
      <c r="A73" t="inlineStr">
        <is>
          <t>LOPE2</t>
        </is>
      </c>
      <c r="B73" t="inlineStr">
        <is>
          <t>Loperamide 2 mg</t>
        </is>
      </c>
      <c r="C73" t="inlineStr">
        <is>
          <t>LOPE227102</t>
        </is>
      </c>
      <c r="D73" t="n">
        <v>657</v>
      </c>
      <c r="E73" t="inlineStr">
        <is>
          <t>2026-06-02</t>
        </is>
      </c>
      <c r="F73" t="inlineStr">
        <is>
          <t>08:08</t>
        </is>
      </c>
      <c r="G73" t="inlineStr">
        <is>
          <t>receipt</t>
        </is>
      </c>
      <c r="H73" t="n">
        <v>392</v>
      </c>
      <c r="I73" t="n">
        <v>0</v>
      </c>
      <c r="J73" t="n">
        <v>0</v>
      </c>
      <c r="K73" t="inlineStr">
        <is>
          <t>f</t>
        </is>
      </c>
      <c r="L73">
        <f>H73*D73</f>
        <v/>
      </c>
    </row>
    <row r="74">
      <c r="A74" t="inlineStr">
        <is>
          <t>LOPE2</t>
        </is>
      </c>
      <c r="B74" t="inlineStr">
        <is>
          <t>Loperamide 2 mg</t>
        </is>
      </c>
      <c r="C74" t="inlineStr">
        <is>
          <t>LOPE229041</t>
        </is>
      </c>
      <c r="D74" t="n">
        <v>594</v>
      </c>
      <c r="E74" t="inlineStr">
        <is>
          <t>2026-07-14</t>
        </is>
      </c>
      <c r="F74" t="inlineStr">
        <is>
          <t>08:14</t>
        </is>
      </c>
      <c r="G74" t="inlineStr">
        <is>
          <t>receipt</t>
        </is>
      </c>
      <c r="H74" t="n">
        <v>73</v>
      </c>
      <c r="I74" t="n">
        <v>0</v>
      </c>
      <c r="J74" t="n">
        <v>0</v>
      </c>
      <c r="K74" t="inlineStr">
        <is>
          <t>f</t>
        </is>
      </c>
      <c r="L74">
        <f>H74*D74</f>
        <v/>
      </c>
    </row>
    <row r="75">
      <c r="A75" t="inlineStr">
        <is>
          <t>LORA10</t>
        </is>
      </c>
      <c r="B75" t="inlineStr">
        <is>
          <t>Loratadine 10 mg</t>
        </is>
      </c>
      <c r="C75" t="inlineStr">
        <is>
          <t>LORA126101</t>
        </is>
      </c>
      <c r="D75" t="n">
        <v>800</v>
      </c>
      <c r="E75" t="inlineStr">
        <is>
          <t>2025-08-31</t>
        </is>
      </c>
      <c r="F75" t="inlineStr">
        <is>
          <t>08:01</t>
        </is>
      </c>
      <c r="G75" t="inlineStr">
        <is>
          <t>receipt</t>
        </is>
      </c>
      <c r="H75" t="n">
        <v>97</v>
      </c>
      <c r="I75" t="n">
        <v>0</v>
      </c>
      <c r="J75" t="n">
        <v>0</v>
      </c>
      <c r="K75" t="inlineStr">
        <is>
          <t>f</t>
        </is>
      </c>
      <c r="L75">
        <f>H75*D75</f>
        <v/>
      </c>
    </row>
    <row r="76">
      <c r="A76" t="inlineStr">
        <is>
          <t>LORA10</t>
        </is>
      </c>
      <c r="B76" t="inlineStr">
        <is>
          <t>Loratadine 10 mg</t>
        </is>
      </c>
      <c r="C76" t="inlineStr">
        <is>
          <t>LORA126112</t>
        </is>
      </c>
      <c r="D76" t="n">
        <v>710</v>
      </c>
      <c r="E76" t="inlineStr">
        <is>
          <t>2026-03-02</t>
        </is>
      </c>
      <c r="F76" t="inlineStr">
        <is>
          <t>08:05</t>
        </is>
      </c>
      <c r="G76" t="inlineStr">
        <is>
          <t>receipt</t>
        </is>
      </c>
      <c r="H76" t="n">
        <v>151</v>
      </c>
      <c r="I76" t="n">
        <v>0</v>
      </c>
      <c r="J76" t="n">
        <v>0</v>
      </c>
      <c r="K76" t="inlineStr">
        <is>
          <t>f</t>
        </is>
      </c>
      <c r="L76">
        <f>H76*D76</f>
        <v/>
      </c>
    </row>
    <row r="77">
      <c r="A77" t="inlineStr">
        <is>
          <t>LORA10</t>
        </is>
      </c>
      <c r="B77" t="inlineStr">
        <is>
          <t>Loratadine 10 mg</t>
        </is>
      </c>
      <c r="C77" t="inlineStr">
        <is>
          <t>LORA126101</t>
        </is>
      </c>
      <c r="D77" t="n">
        <v>800</v>
      </c>
      <c r="E77" t="inlineStr">
        <is>
          <t>2026-09-19</t>
        </is>
      </c>
      <c r="F77" t="inlineStr">
        <is>
          <t>12:18</t>
        </is>
      </c>
      <c r="G77" t="inlineStr">
        <is>
          <t>sale</t>
        </is>
      </c>
      <c r="H77" t="n">
        <v>-10</v>
      </c>
      <c r="I77" t="n">
        <v>0</v>
      </c>
      <c r="J77" t="n">
        <v>0</v>
      </c>
      <c r="K77" t="inlineStr">
        <is>
          <t>f</t>
        </is>
      </c>
      <c r="L77">
        <f>H77*D77</f>
        <v/>
      </c>
    </row>
    <row r="78">
      <c r="A78" t="inlineStr">
        <is>
          <t>LORA10</t>
        </is>
      </c>
      <c r="B78" t="inlineStr">
        <is>
          <t>Loratadine 10 mg</t>
        </is>
      </c>
      <c r="C78" t="inlineStr">
        <is>
          <t>LORA126101</t>
        </is>
      </c>
      <c r="D78" t="n">
        <v>800</v>
      </c>
      <c r="E78" t="inlineStr">
        <is>
          <t>2026-10-01</t>
        </is>
      </c>
      <c r="F78" t="inlineStr">
        <is>
          <t>09:20</t>
        </is>
      </c>
      <c r="G78" t="inlineStr">
        <is>
          <t>sale</t>
        </is>
      </c>
      <c r="H78" t="n">
        <v>-7</v>
      </c>
      <c r="I78" t="n">
        <v>0</v>
      </c>
      <c r="J78" t="n">
        <v>0</v>
      </c>
      <c r="K78" t="inlineStr">
        <is>
          <t>f</t>
        </is>
      </c>
      <c r="L78">
        <f>H78*D78</f>
        <v/>
      </c>
    </row>
    <row r="79">
      <c r="A79" t="inlineStr">
        <is>
          <t>LORA10</t>
        </is>
      </c>
      <c r="B79" t="inlineStr">
        <is>
          <t>Loratadine 10 mg</t>
        </is>
      </c>
      <c r="C79" t="inlineStr">
        <is>
          <t>LORA126101</t>
        </is>
      </c>
      <c r="D79" t="n">
        <v>800</v>
      </c>
      <c r="E79" t="inlineStr">
        <is>
          <t>2026-10-01</t>
        </is>
      </c>
      <c r="F79" t="inlineStr">
        <is>
          <t>10:20</t>
        </is>
      </c>
      <c r="G79" t="inlineStr">
        <is>
          <t>return</t>
        </is>
      </c>
      <c r="H79" t="n">
        <v>0</v>
      </c>
      <c r="I79" t="n">
        <v>2</v>
      </c>
      <c r="J79" t="n">
        <v>0</v>
      </c>
      <c r="K79" t="inlineStr">
        <is>
          <t>f</t>
        </is>
      </c>
      <c r="L79">
        <f>H79*D79</f>
        <v/>
      </c>
    </row>
    <row r="80">
      <c r="A80" t="inlineStr">
        <is>
          <t>LORA10</t>
        </is>
      </c>
      <c r="B80" t="inlineStr">
        <is>
          <t>Loratadine 10 mg</t>
        </is>
      </c>
      <c r="C80" t="inlineStr">
        <is>
          <t>LORA126101</t>
        </is>
      </c>
      <c r="D80" t="n">
        <v>800</v>
      </c>
      <c r="E80" t="inlineStr">
        <is>
          <t>2026-10-07</t>
        </is>
      </c>
      <c r="F80" t="inlineStr">
        <is>
          <t>10:19</t>
        </is>
      </c>
      <c r="G80" t="inlineStr">
        <is>
          <t>sale</t>
        </is>
      </c>
      <c r="H80" t="n">
        <v>-2</v>
      </c>
      <c r="I80" t="n">
        <v>0</v>
      </c>
      <c r="J80" t="n">
        <v>0</v>
      </c>
      <c r="K80" t="inlineStr">
        <is>
          <t>f</t>
        </is>
      </c>
      <c r="L80">
        <f>H80*D80</f>
        <v/>
      </c>
    </row>
    <row r="81">
      <c r="A81" t="inlineStr">
        <is>
          <t>LORA10</t>
        </is>
      </c>
      <c r="B81" t="inlineStr">
        <is>
          <t>Loratadine 10 mg</t>
        </is>
      </c>
      <c r="C81" t="inlineStr">
        <is>
          <t>LORA126112</t>
        </is>
      </c>
      <c r="D81" t="n">
        <v>710</v>
      </c>
      <c r="E81" t="inlineStr">
        <is>
          <t>2026-10-20</t>
        </is>
      </c>
      <c r="F81" t="inlineStr">
        <is>
          <t>12:17</t>
        </is>
      </c>
      <c r="G81" t="inlineStr">
        <is>
          <t>sale</t>
        </is>
      </c>
      <c r="H81" t="n">
        <v>-7</v>
      </c>
      <c r="I81" t="n">
        <v>0</v>
      </c>
      <c r="J81" t="n">
        <v>0</v>
      </c>
      <c r="K81" t="inlineStr">
        <is>
          <t>f</t>
        </is>
      </c>
      <c r="L81">
        <f>H81*D81</f>
        <v/>
      </c>
    </row>
    <row r="82">
      <c r="A82" t="inlineStr">
        <is>
          <t>LOSA50</t>
        </is>
      </c>
      <c r="B82" t="inlineStr">
        <is>
          <t>Losartan 50 mg</t>
        </is>
      </c>
      <c r="C82" t="inlineStr">
        <is>
          <t>LOSA526101</t>
        </is>
      </c>
      <c r="D82" t="n">
        <v>1260</v>
      </c>
      <c r="E82" t="inlineStr">
        <is>
          <t>2025-08-31</t>
        </is>
      </c>
      <c r="F82" t="inlineStr">
        <is>
          <t>08:01</t>
        </is>
      </c>
      <c r="G82" t="inlineStr">
        <is>
          <t>receipt</t>
        </is>
      </c>
      <c r="H82" t="n">
        <v>77</v>
      </c>
      <c r="I82" t="n">
        <v>0</v>
      </c>
      <c r="J82" t="n">
        <v>0</v>
      </c>
      <c r="K82" t="inlineStr">
        <is>
          <t>f</t>
        </is>
      </c>
      <c r="L82">
        <f>H82*D82</f>
        <v/>
      </c>
    </row>
    <row r="83">
      <c r="A83" t="inlineStr">
        <is>
          <t>LOSA50</t>
        </is>
      </c>
      <c r="B83" t="inlineStr">
        <is>
          <t>Losartan 50 mg</t>
        </is>
      </c>
      <c r="C83" t="inlineStr">
        <is>
          <t>LOSA526122</t>
        </is>
      </c>
      <c r="D83" t="n">
        <v>1580</v>
      </c>
      <c r="E83" t="inlineStr">
        <is>
          <t>2026-04-17</t>
        </is>
      </c>
      <c r="F83" t="inlineStr">
        <is>
          <t>08:06</t>
        </is>
      </c>
      <c r="G83" t="inlineStr">
        <is>
          <t>receipt</t>
        </is>
      </c>
      <c r="H83" t="n">
        <v>396</v>
      </c>
      <c r="I83" t="n">
        <v>0</v>
      </c>
      <c r="J83" t="n">
        <v>0</v>
      </c>
      <c r="K83" t="inlineStr">
        <is>
          <t>f</t>
        </is>
      </c>
      <c r="L83">
        <f>H83*D83</f>
        <v/>
      </c>
    </row>
    <row r="84">
      <c r="A84" t="inlineStr">
        <is>
          <t>MELO7</t>
        </is>
      </c>
      <c r="B84" t="inlineStr">
        <is>
          <t>Meloxicam 7.5 mg</t>
        </is>
      </c>
      <c r="C84" t="inlineStr">
        <is>
          <t>MELO728081</t>
        </is>
      </c>
      <c r="D84" t="n">
        <v>756</v>
      </c>
      <c r="E84" t="inlineStr">
        <is>
          <t>2026-07-01</t>
        </is>
      </c>
      <c r="F84" t="inlineStr">
        <is>
          <t>08:13</t>
        </is>
      </c>
      <c r="G84" t="inlineStr">
        <is>
          <t>receipt</t>
        </is>
      </c>
      <c r="H84" t="n">
        <v>211</v>
      </c>
      <c r="I84" t="n">
        <v>0</v>
      </c>
      <c r="J84" t="n">
        <v>0</v>
      </c>
      <c r="K84" t="inlineStr">
        <is>
          <t>f</t>
        </is>
      </c>
      <c r="L84">
        <f>H84*D84</f>
        <v/>
      </c>
    </row>
    <row r="85">
      <c r="A85" t="inlineStr">
        <is>
          <t>MELO7</t>
        </is>
      </c>
      <c r="B85" t="inlineStr">
        <is>
          <t>Meloxicam 7.5 mg</t>
        </is>
      </c>
      <c r="C85" t="inlineStr">
        <is>
          <t>MELO727092</t>
        </is>
      </c>
      <c r="D85" t="n">
        <v>864</v>
      </c>
      <c r="E85" t="inlineStr">
        <is>
          <t>2026-09-11</t>
        </is>
      </c>
      <c r="F85" t="inlineStr">
        <is>
          <t>08:21</t>
        </is>
      </c>
      <c r="G85" t="inlineStr">
        <is>
          <t>receipt</t>
        </is>
      </c>
      <c r="H85" t="n">
        <v>153</v>
      </c>
      <c r="I85" t="n">
        <v>0</v>
      </c>
      <c r="J85" t="n">
        <v>0</v>
      </c>
      <c r="K85" t="inlineStr">
        <is>
          <t>f</t>
        </is>
      </c>
      <c r="L85">
        <f>H85*D85</f>
        <v/>
      </c>
    </row>
    <row r="86">
      <c r="A86" t="inlineStr">
        <is>
          <t>MET500</t>
        </is>
      </c>
      <c r="B86" t="inlineStr">
        <is>
          <t>Metformin 500 mg</t>
        </is>
      </c>
      <c r="C86" t="inlineStr">
        <is>
          <t>MET5026101</t>
        </is>
      </c>
      <c r="D86" t="n">
        <v>469</v>
      </c>
      <c r="E86" t="inlineStr">
        <is>
          <t>2025-10-26</t>
        </is>
      </c>
      <c r="F86" t="inlineStr">
        <is>
          <t>08:02</t>
        </is>
      </c>
      <c r="G86" t="inlineStr">
        <is>
          <t>receipt</t>
        </is>
      </c>
      <c r="H86" t="n">
        <v>37</v>
      </c>
      <c r="I86" t="n">
        <v>0</v>
      </c>
      <c r="J86" t="n">
        <v>0</v>
      </c>
      <c r="K86" t="inlineStr">
        <is>
          <t>f</t>
        </is>
      </c>
      <c r="L86">
        <f>H86*D86</f>
        <v/>
      </c>
    </row>
    <row r="87">
      <c r="A87" t="inlineStr">
        <is>
          <t>MET500</t>
        </is>
      </c>
      <c r="B87" t="inlineStr">
        <is>
          <t>Metformin 500 mg</t>
        </is>
      </c>
      <c r="C87" t="inlineStr">
        <is>
          <t>MET5026122</t>
        </is>
      </c>
      <c r="D87" t="n">
        <v>483</v>
      </c>
      <c r="E87" t="inlineStr">
        <is>
          <t>2025-12-16</t>
        </is>
      </c>
      <c r="F87" t="inlineStr">
        <is>
          <t>08:03</t>
        </is>
      </c>
      <c r="G87" t="inlineStr">
        <is>
          <t>receipt</t>
        </is>
      </c>
      <c r="H87" t="n">
        <v>36</v>
      </c>
      <c r="I87" t="n">
        <v>0</v>
      </c>
      <c r="J87" t="n">
        <v>0</v>
      </c>
      <c r="K87" t="inlineStr">
        <is>
          <t>f</t>
        </is>
      </c>
      <c r="L87">
        <f>H87*D87</f>
        <v/>
      </c>
    </row>
    <row r="88">
      <c r="A88" t="inlineStr">
        <is>
          <t>MET850</t>
        </is>
      </c>
      <c r="B88" t="inlineStr">
        <is>
          <t>Metformin 850 mg</t>
        </is>
      </c>
      <c r="C88" t="inlineStr">
        <is>
          <t>MET8528122</t>
        </is>
      </c>
      <c r="D88" t="n">
        <v>700</v>
      </c>
      <c r="E88" t="inlineStr">
        <is>
          <t>2026-06-02</t>
        </is>
      </c>
      <c r="F88" t="inlineStr">
        <is>
          <t>08:08</t>
        </is>
      </c>
      <c r="G88" t="inlineStr">
        <is>
          <t>receipt</t>
        </is>
      </c>
      <c r="H88" t="n">
        <v>251</v>
      </c>
      <c r="I88" t="n">
        <v>0</v>
      </c>
      <c r="J88" t="n">
        <v>0</v>
      </c>
      <c r="K88" t="inlineStr">
        <is>
          <t>f</t>
        </is>
      </c>
      <c r="L88">
        <f>H88*D88</f>
        <v/>
      </c>
    </row>
    <row r="89">
      <c r="A89" t="inlineStr">
        <is>
          <t>MET850</t>
        </is>
      </c>
      <c r="B89" t="inlineStr">
        <is>
          <t>Metformin 850 mg</t>
        </is>
      </c>
      <c r="C89" t="inlineStr">
        <is>
          <t>MET8528011</t>
        </is>
      </c>
      <c r="D89" t="n">
        <v>630</v>
      </c>
      <c r="E89" t="inlineStr">
        <is>
          <t>2026-06-22</t>
        </is>
      </c>
      <c r="F89" t="inlineStr">
        <is>
          <t>08:12</t>
        </is>
      </c>
      <c r="G89" t="inlineStr">
        <is>
          <t>receipt</t>
        </is>
      </c>
      <c r="H89" t="n">
        <v>111</v>
      </c>
      <c r="I89" t="n">
        <v>0</v>
      </c>
      <c r="J89" t="n">
        <v>0</v>
      </c>
      <c r="K89" t="inlineStr">
        <is>
          <t>f</t>
        </is>
      </c>
      <c r="L89">
        <f>H89*D89</f>
        <v/>
      </c>
    </row>
    <row r="90">
      <c r="A90" t="inlineStr">
        <is>
          <t>METRO250</t>
        </is>
      </c>
      <c r="B90" t="inlineStr">
        <is>
          <t>Metronidazole 250 mg</t>
        </is>
      </c>
      <c r="C90" t="inlineStr">
        <is>
          <t>METRO27072</t>
        </is>
      </c>
      <c r="D90" t="n">
        <v>441</v>
      </c>
      <c r="E90" t="inlineStr">
        <is>
          <t>2026-06-13</t>
        </is>
      </c>
      <c r="F90" t="inlineStr">
        <is>
          <t>08:11</t>
        </is>
      </c>
      <c r="G90" t="inlineStr">
        <is>
          <t>receipt</t>
        </is>
      </c>
      <c r="H90" t="n">
        <v>109</v>
      </c>
      <c r="I90" t="n">
        <v>0</v>
      </c>
      <c r="J90" t="n">
        <v>0</v>
      </c>
      <c r="K90" t="inlineStr">
        <is>
          <t>f</t>
        </is>
      </c>
      <c r="L90">
        <f>H90*D90</f>
        <v/>
      </c>
    </row>
    <row r="91">
      <c r="A91" t="inlineStr">
        <is>
          <t>METRO250</t>
        </is>
      </c>
      <c r="B91" t="inlineStr">
        <is>
          <t>Metronidazole 250 mg</t>
        </is>
      </c>
      <c r="C91" t="inlineStr">
        <is>
          <t>METRO27061</t>
        </is>
      </c>
      <c r="D91" t="n">
        <v>546</v>
      </c>
      <c r="E91" t="inlineStr">
        <is>
          <t>2026-09-21</t>
        </is>
      </c>
      <c r="F91" t="inlineStr">
        <is>
          <t>08:22</t>
        </is>
      </c>
      <c r="G91" t="inlineStr">
        <is>
          <t>receipt</t>
        </is>
      </c>
      <c r="H91" t="n">
        <v>334</v>
      </c>
      <c r="I91" t="n">
        <v>0</v>
      </c>
      <c r="J91" t="n">
        <v>0</v>
      </c>
      <c r="K91" t="inlineStr">
        <is>
          <t>f</t>
        </is>
      </c>
      <c r="L91">
        <f>H91*D91</f>
        <v/>
      </c>
    </row>
    <row r="92">
      <c r="A92" t="inlineStr">
        <is>
          <t>MONT10</t>
        </is>
      </c>
      <c r="B92" t="inlineStr">
        <is>
          <t>Montelukast 10 mg</t>
        </is>
      </c>
      <c r="C92" t="inlineStr">
        <is>
          <t>MONT126091</t>
        </is>
      </c>
      <c r="D92" t="n">
        <v>4235</v>
      </c>
      <c r="E92" t="inlineStr">
        <is>
          <t>2025-10-26</t>
        </is>
      </c>
      <c r="F92" t="inlineStr">
        <is>
          <t>08:02</t>
        </is>
      </c>
      <c r="G92" t="inlineStr">
        <is>
          <t>receipt</t>
        </is>
      </c>
      <c r="H92" t="n">
        <v>322</v>
      </c>
      <c r="I92" t="n">
        <v>0</v>
      </c>
      <c r="J92" t="n">
        <v>0</v>
      </c>
      <c r="K92" t="inlineStr">
        <is>
          <t>f</t>
        </is>
      </c>
      <c r="L92">
        <f>H92*D92</f>
        <v/>
      </c>
    </row>
    <row r="93">
      <c r="A93" t="inlineStr">
        <is>
          <t>MONT10</t>
        </is>
      </c>
      <c r="B93" t="inlineStr">
        <is>
          <t>Montelukast 10 mg</t>
        </is>
      </c>
      <c r="C93" t="inlineStr">
        <is>
          <t>MONT126112</t>
        </is>
      </c>
      <c r="D93" t="n">
        <v>3520</v>
      </c>
      <c r="E93" t="inlineStr">
        <is>
          <t>2026-01-21</t>
        </is>
      </c>
      <c r="F93" t="inlineStr">
        <is>
          <t>08:04</t>
        </is>
      </c>
      <c r="G93" t="inlineStr">
        <is>
          <t>receipt</t>
        </is>
      </c>
      <c r="H93" t="n">
        <v>118</v>
      </c>
      <c r="I93" t="n">
        <v>0</v>
      </c>
      <c r="J93" t="n">
        <v>0</v>
      </c>
      <c r="K93" t="inlineStr">
        <is>
          <t>f</t>
        </is>
      </c>
      <c r="L93">
        <f>H93*D93</f>
        <v/>
      </c>
    </row>
    <row r="94">
      <c r="A94" t="inlineStr">
        <is>
          <t>NACL-EYE</t>
        </is>
      </c>
      <c r="B94" t="inlineStr">
        <is>
          <t>Sodium chloride eye drops 0.9%</t>
        </is>
      </c>
      <c r="C94" t="inlineStr">
        <is>
          <t>NACLE26101</t>
        </is>
      </c>
      <c r="D94" t="n">
        <v>3450</v>
      </c>
      <c r="E94" t="inlineStr">
        <is>
          <t>2025-10-26</t>
        </is>
      </c>
      <c r="F94" t="inlineStr">
        <is>
          <t>08:02</t>
        </is>
      </c>
      <c r="G94" t="inlineStr">
        <is>
          <t>receipt</t>
        </is>
      </c>
      <c r="H94" t="n">
        <v>24</v>
      </c>
      <c r="I94" t="n">
        <v>0</v>
      </c>
      <c r="J94" t="n">
        <v>0</v>
      </c>
      <c r="K94" t="inlineStr">
        <is>
          <t>f</t>
        </is>
      </c>
      <c r="L94">
        <f>H94*D94</f>
        <v/>
      </c>
    </row>
    <row r="95">
      <c r="A95" t="inlineStr">
        <is>
          <t>NACL-EYE</t>
        </is>
      </c>
      <c r="B95" t="inlineStr">
        <is>
          <t>Sodium chloride eye drops 0.9%</t>
        </is>
      </c>
      <c r="C95" t="inlineStr">
        <is>
          <t>NACLE26112</t>
        </is>
      </c>
      <c r="D95" t="n">
        <v>3250</v>
      </c>
      <c r="E95" t="inlineStr">
        <is>
          <t>2026-03-02</t>
        </is>
      </c>
      <c r="F95" t="inlineStr">
        <is>
          <t>08:05</t>
        </is>
      </c>
      <c r="G95" t="inlineStr">
        <is>
          <t>receipt</t>
        </is>
      </c>
      <c r="H95" t="n">
        <v>27</v>
      </c>
      <c r="I95" t="n">
        <v>0</v>
      </c>
      <c r="J95" t="n">
        <v>0</v>
      </c>
      <c r="K95" t="inlineStr">
        <is>
          <t>f</t>
        </is>
      </c>
      <c r="L95">
        <f>H95*D95</f>
        <v/>
      </c>
    </row>
    <row r="96">
      <c r="A96" t="inlineStr">
        <is>
          <t>NACL-NOSE</t>
        </is>
      </c>
      <c r="B96" t="inlineStr">
        <is>
          <t>Sodium chloride nasal spray 0.9%</t>
        </is>
      </c>
      <c r="C96" t="inlineStr">
        <is>
          <t>NACLN27012</t>
        </is>
      </c>
      <c r="D96" t="n">
        <v>15250</v>
      </c>
      <c r="E96" t="inlineStr">
        <is>
          <t>2026-05-29</t>
        </is>
      </c>
      <c r="F96" t="inlineStr">
        <is>
          <t>08:07</t>
        </is>
      </c>
      <c r="G96" t="inlineStr">
        <is>
          <t>receipt</t>
        </is>
      </c>
      <c r="H96" t="n">
        <v>10</v>
      </c>
      <c r="I96" t="n">
        <v>0</v>
      </c>
      <c r="J96" t="n">
        <v>0</v>
      </c>
      <c r="K96" t="inlineStr">
        <is>
          <t>f</t>
        </is>
      </c>
      <c r="L96">
        <f>H96*D96</f>
        <v/>
      </c>
    </row>
    <row r="97">
      <c r="A97" t="inlineStr">
        <is>
          <t>NACL-NOSE</t>
        </is>
      </c>
      <c r="B97" t="inlineStr">
        <is>
          <t>Sodium chloride nasal spray 0.9%</t>
        </is>
      </c>
      <c r="C97" t="inlineStr">
        <is>
          <t>NACLN28121</t>
        </is>
      </c>
      <c r="D97" t="n">
        <v>16750</v>
      </c>
      <c r="E97" t="inlineStr">
        <is>
          <t>2026-09-21</t>
        </is>
      </c>
      <c r="F97" t="inlineStr">
        <is>
          <t>08:22</t>
        </is>
      </c>
      <c r="G97" t="inlineStr">
        <is>
          <t>receipt</t>
        </is>
      </c>
      <c r="H97" t="n">
        <v>29</v>
      </c>
      <c r="I97" t="n">
        <v>0</v>
      </c>
      <c r="J97" t="n">
        <v>0</v>
      </c>
      <c r="K97" t="inlineStr">
        <is>
          <t>f</t>
        </is>
      </c>
      <c r="L97">
        <f>H97*D97</f>
        <v/>
      </c>
    </row>
    <row r="98">
      <c r="A98" t="inlineStr">
        <is>
          <t>OMEP20</t>
        </is>
      </c>
      <c r="B98" t="inlineStr">
        <is>
          <t>Omeprazole 20 mg</t>
        </is>
      </c>
      <c r="C98" t="inlineStr">
        <is>
          <t>OMEP228072</t>
        </is>
      </c>
      <c r="D98" t="n">
        <v>1200</v>
      </c>
      <c r="E98" t="inlineStr">
        <is>
          <t>2026-07-01</t>
        </is>
      </c>
      <c r="F98" t="inlineStr">
        <is>
          <t>08:13</t>
        </is>
      </c>
      <c r="G98" t="inlineStr">
        <is>
          <t>receipt</t>
        </is>
      </c>
      <c r="H98" t="n">
        <v>24</v>
      </c>
      <c r="I98" t="n">
        <v>0</v>
      </c>
      <c r="J98" t="n">
        <v>0</v>
      </c>
      <c r="K98" t="inlineStr">
        <is>
          <t>f</t>
        </is>
      </c>
      <c r="L98">
        <f>H98*D98</f>
        <v/>
      </c>
    </row>
    <row r="99">
      <c r="A99" t="inlineStr">
        <is>
          <t>OMEP20</t>
        </is>
      </c>
      <c r="B99" t="inlineStr">
        <is>
          <t>Omeprazole 20 mg</t>
        </is>
      </c>
      <c r="C99" t="inlineStr">
        <is>
          <t>OMEP227081</t>
        </is>
      </c>
      <c r="D99" t="n">
        <v>1020</v>
      </c>
      <c r="E99" t="inlineStr">
        <is>
          <t>2026-09-11</t>
        </is>
      </c>
      <c r="F99" t="inlineStr">
        <is>
          <t>08:21</t>
        </is>
      </c>
      <c r="G99" t="inlineStr">
        <is>
          <t>receipt</t>
        </is>
      </c>
      <c r="H99" t="n">
        <v>25</v>
      </c>
      <c r="I99" t="n">
        <v>0</v>
      </c>
      <c r="J99" t="n">
        <v>0</v>
      </c>
      <c r="K99" t="inlineStr">
        <is>
          <t>f</t>
        </is>
      </c>
      <c r="L99">
        <f>H99*D99</f>
        <v/>
      </c>
    </row>
    <row r="100">
      <c r="A100" t="inlineStr">
        <is>
          <t>ORS</t>
        </is>
      </c>
      <c r="B100" t="inlineStr">
        <is>
          <t>Oral rehydration salts</t>
        </is>
      </c>
      <c r="C100" t="inlineStr">
        <is>
          <t>ORS27101</t>
        </is>
      </c>
      <c r="D100" t="n">
        <v>1830</v>
      </c>
      <c r="E100" t="inlineStr">
        <is>
          <t>2026-05-29</t>
        </is>
      </c>
      <c r="F100" t="inlineStr">
        <is>
          <t>08:07</t>
        </is>
      </c>
      <c r="G100" t="inlineStr">
        <is>
          <t>receipt</t>
        </is>
      </c>
      <c r="H100" t="n">
        <v>12</v>
      </c>
      <c r="I100" t="n">
        <v>0</v>
      </c>
      <c r="J100" t="n">
        <v>0</v>
      </c>
      <c r="K100" t="inlineStr">
        <is>
          <t>f</t>
        </is>
      </c>
      <c r="L100">
        <f>H100*D100</f>
        <v/>
      </c>
    </row>
    <row r="101">
      <c r="A101" t="inlineStr">
        <is>
          <t>ORS</t>
        </is>
      </c>
      <c r="B101" t="inlineStr">
        <is>
          <t>Oral rehydration salts</t>
        </is>
      </c>
      <c r="C101" t="inlineStr">
        <is>
          <t>ORS29042</t>
        </is>
      </c>
      <c r="D101" t="n">
        <v>1950</v>
      </c>
      <c r="E101" t="inlineStr">
        <is>
          <t>2026-08-22</t>
        </is>
      </c>
      <c r="F101" t="inlineStr">
        <is>
          <t>08:18</t>
        </is>
      </c>
      <c r="G101" t="inlineStr">
        <is>
          <t>receipt</t>
        </is>
      </c>
      <c r="H101" t="n">
        <v>11</v>
      </c>
      <c r="I101" t="n">
        <v>0</v>
      </c>
      <c r="J101" t="n">
        <v>0</v>
      </c>
      <c r="K101" t="inlineStr">
        <is>
          <t>f</t>
        </is>
      </c>
      <c r="L101">
        <f>H101*D101</f>
        <v/>
      </c>
    </row>
    <row r="102">
      <c r="A102" t="inlineStr">
        <is>
          <t>PARA250-SY</t>
        </is>
      </c>
      <c r="B102" t="inlineStr">
        <is>
          <t>Paracetamol syrup 250 mg/5 ml</t>
        </is>
      </c>
      <c r="C102" t="inlineStr">
        <is>
          <t>PARA227082</t>
        </is>
      </c>
      <c r="D102" t="n">
        <v>21760</v>
      </c>
      <c r="E102" t="inlineStr">
        <is>
          <t>2026-06-02</t>
        </is>
      </c>
      <c r="F102" t="inlineStr">
        <is>
          <t>08:08</t>
        </is>
      </c>
      <c r="G102" t="inlineStr">
        <is>
          <t>receipt</t>
        </is>
      </c>
      <c r="H102" t="n">
        <v>5</v>
      </c>
      <c r="I102" t="n">
        <v>0</v>
      </c>
      <c r="J102" t="n">
        <v>0</v>
      </c>
      <c r="K102" t="inlineStr">
        <is>
          <t>f</t>
        </is>
      </c>
      <c r="L102">
        <f>H102*D102</f>
        <v/>
      </c>
    </row>
    <row r="103">
      <c r="A103" t="inlineStr">
        <is>
          <t>PARA250-SY</t>
        </is>
      </c>
      <c r="B103" t="inlineStr">
        <is>
          <t>Paracetamol syrup 250 mg/5 ml</t>
        </is>
      </c>
      <c r="C103" t="inlineStr">
        <is>
          <t>PARA228041</t>
        </is>
      </c>
      <c r="D103" t="n">
        <v>20800</v>
      </c>
      <c r="E103" t="inlineStr">
        <is>
          <t>2026-08-10</t>
        </is>
      </c>
      <c r="F103" t="inlineStr">
        <is>
          <t>08:17</t>
        </is>
      </c>
      <c r="G103" t="inlineStr">
        <is>
          <t>receipt</t>
        </is>
      </c>
      <c r="H103" t="n">
        <v>24</v>
      </c>
      <c r="I103" t="n">
        <v>0</v>
      </c>
      <c r="J103" t="n">
        <v>0</v>
      </c>
      <c r="K103" t="inlineStr">
        <is>
          <t>f</t>
        </is>
      </c>
      <c r="L103">
        <f>H103*D103</f>
        <v/>
      </c>
    </row>
    <row r="104">
      <c r="A104" t="inlineStr">
        <is>
          <t>PARA500</t>
        </is>
      </c>
      <c r="B104" t="inlineStr">
        <is>
          <t>Paracetamol 500 mg</t>
        </is>
      </c>
      <c r="C104" t="inlineStr">
        <is>
          <t>PARA526122</t>
        </is>
      </c>
      <c r="D104" t="n">
        <v>395</v>
      </c>
      <c r="E104" t="inlineStr">
        <is>
          <t>2026-01-21</t>
        </is>
      </c>
      <c r="F104" t="inlineStr">
        <is>
          <t>08:04</t>
        </is>
      </c>
      <c r="G104" t="inlineStr">
        <is>
          <t>receipt</t>
        </is>
      </c>
      <c r="H104" t="n">
        <v>336</v>
      </c>
      <c r="I104" t="n">
        <v>0</v>
      </c>
      <c r="J104" t="n">
        <v>0</v>
      </c>
      <c r="K104" t="inlineStr">
        <is>
          <t>f</t>
        </is>
      </c>
      <c r="L104">
        <f>H104*D104</f>
        <v/>
      </c>
    </row>
    <row r="105">
      <c r="A105" t="inlineStr">
        <is>
          <t>PARA500</t>
        </is>
      </c>
      <c r="B105" t="inlineStr">
        <is>
          <t>Paracetamol 500 mg</t>
        </is>
      </c>
      <c r="C105" t="inlineStr">
        <is>
          <t>PARA526101</t>
        </is>
      </c>
      <c r="D105" t="n">
        <v>300</v>
      </c>
      <c r="E105" t="inlineStr">
        <is>
          <t>2026-03-02</t>
        </is>
      </c>
      <c r="F105" t="inlineStr">
        <is>
          <t>08:05</t>
        </is>
      </c>
      <c r="G105" t="inlineStr">
        <is>
          <t>receipt</t>
        </is>
      </c>
      <c r="H105" t="n">
        <v>171</v>
      </c>
      <c r="I105" t="n">
        <v>0</v>
      </c>
      <c r="J105" t="n">
        <v>0</v>
      </c>
      <c r="K105" t="inlineStr">
        <is>
          <t>f</t>
        </is>
      </c>
      <c r="L105">
        <f>H105*D105</f>
        <v/>
      </c>
    </row>
    <row r="106">
      <c r="A106" t="inlineStr">
        <is>
          <t>PARA500</t>
        </is>
      </c>
      <c r="B106" t="inlineStr">
        <is>
          <t>Paracetamol 500 mg</t>
        </is>
      </c>
      <c r="C106" t="inlineStr">
        <is>
          <t>PARA526101</t>
        </is>
      </c>
      <c r="D106" t="n">
        <v>300</v>
      </c>
      <c r="E106" t="inlineStr">
        <is>
          <t>2026-09-02</t>
        </is>
      </c>
      <c r="F106" t="inlineStr">
        <is>
          <t>11:41</t>
        </is>
      </c>
      <c r="G106" t="inlineStr">
        <is>
          <t>sale</t>
        </is>
      </c>
      <c r="H106" t="n">
        <v>-5</v>
      </c>
      <c r="I106" t="n">
        <v>0</v>
      </c>
      <c r="J106" t="n">
        <v>0</v>
      </c>
      <c r="K106" t="inlineStr">
        <is>
          <t>f</t>
        </is>
      </c>
      <c r="L106">
        <f>H106*D106</f>
        <v/>
      </c>
    </row>
    <row r="107">
      <c r="A107" t="inlineStr">
        <is>
          <t>PARA500</t>
        </is>
      </c>
      <c r="B107" t="inlineStr">
        <is>
          <t>Paracetamol 500 mg</t>
        </is>
      </c>
      <c r="C107" t="inlineStr">
        <is>
          <t>PARA526101</t>
        </is>
      </c>
      <c r="D107" t="n">
        <v>300</v>
      </c>
      <c r="E107" t="inlineStr">
        <is>
          <t>2026-09-04</t>
        </is>
      </c>
      <c r="F107" t="inlineStr">
        <is>
          <t>11:41</t>
        </is>
      </c>
      <c r="G107" t="inlineStr">
        <is>
          <t>return</t>
        </is>
      </c>
      <c r="H107" t="n">
        <v>0</v>
      </c>
      <c r="I107" t="n">
        <v>2</v>
      </c>
      <c r="J107" t="n">
        <v>0</v>
      </c>
      <c r="K107" t="inlineStr">
        <is>
          <t>f</t>
        </is>
      </c>
      <c r="L107">
        <f>H107*D107</f>
        <v/>
      </c>
    </row>
    <row r="108">
      <c r="A108" t="inlineStr">
        <is>
          <t>PARA500</t>
        </is>
      </c>
      <c r="B108" t="inlineStr">
        <is>
          <t>Paracetamol 500 mg</t>
        </is>
      </c>
      <c r="C108" t="inlineStr">
        <is>
          <t>PARA526101</t>
        </is>
      </c>
      <c r="D108" t="n">
        <v>300</v>
      </c>
      <c r="E108" t="inlineStr">
        <is>
          <t>2026-09-06</t>
        </is>
      </c>
      <c r="F108" t="inlineStr">
        <is>
          <t>11:41</t>
        </is>
      </c>
      <c r="G108" t="inlineStr">
        <is>
          <t>release</t>
        </is>
      </c>
      <c r="H108" t="n">
        <v>2</v>
      </c>
      <c r="I108" t="n">
        <v>-2</v>
      </c>
      <c r="J108" t="n">
        <v>0</v>
      </c>
      <c r="K108" t="inlineStr">
        <is>
          <t>f</t>
        </is>
      </c>
      <c r="L108">
        <f>H108*D108</f>
        <v/>
      </c>
    </row>
    <row r="109">
      <c r="A109" t="inlineStr">
        <is>
          <t>PARA500</t>
        </is>
      </c>
      <c r="B109" t="inlineStr">
        <is>
          <t>Paracetamol 500 mg</t>
        </is>
      </c>
      <c r="C109" t="inlineStr">
        <is>
          <t>PARA526101</t>
        </is>
      </c>
      <c r="D109" t="n">
        <v>300</v>
      </c>
      <c r="E109" t="inlineStr">
        <is>
          <t>2026-09-16</t>
        </is>
      </c>
      <c r="F109" t="inlineStr">
        <is>
          <t>16:25</t>
        </is>
      </c>
      <c r="G109" t="inlineStr">
        <is>
          <t>sale</t>
        </is>
      </c>
      <c r="H109" t="n">
        <v>-4</v>
      </c>
      <c r="I109" t="n">
        <v>0</v>
      </c>
      <c r="J109" t="n">
        <v>0</v>
      </c>
      <c r="K109" t="inlineStr">
        <is>
          <t>f</t>
        </is>
      </c>
      <c r="L109">
        <f>H109*D109</f>
        <v/>
      </c>
    </row>
    <row r="110">
      <c r="A110" t="inlineStr">
        <is>
          <t>PARA500</t>
        </is>
      </c>
      <c r="B110" t="inlineStr">
        <is>
          <t>Paracetamol 500 mg</t>
        </is>
      </c>
      <c r="C110" t="inlineStr">
        <is>
          <t>PARA526101</t>
        </is>
      </c>
      <c r="D110" t="n">
        <v>300</v>
      </c>
      <c r="E110" t="inlineStr">
        <is>
          <t>2026-09-19</t>
        </is>
      </c>
      <c r="F110" t="inlineStr">
        <is>
          <t>12:18</t>
        </is>
      </c>
      <c r="G110" t="inlineStr">
        <is>
          <t>sale</t>
        </is>
      </c>
      <c r="H110" t="n">
        <v>-8</v>
      </c>
      <c r="I110" t="n">
        <v>0</v>
      </c>
      <c r="J110" t="n">
        <v>0</v>
      </c>
      <c r="K110" t="inlineStr">
        <is>
          <t>f</t>
        </is>
      </c>
      <c r="L110">
        <f>H110*D110</f>
        <v/>
      </c>
    </row>
    <row r="111">
      <c r="A111" t="inlineStr">
        <is>
          <t>PARA500</t>
        </is>
      </c>
      <c r="B111" t="inlineStr">
        <is>
          <t>Paracetamol 500 mg</t>
        </is>
      </c>
      <c r="C111" t="inlineStr">
        <is>
          <t>PARA526101</t>
        </is>
      </c>
      <c r="D111" t="n">
        <v>300</v>
      </c>
      <c r="E111" t="inlineStr">
        <is>
          <t>2026-09-22</t>
        </is>
      </c>
      <c r="F111" t="inlineStr">
        <is>
          <t>11:16</t>
        </is>
      </c>
      <c r="G111" t="inlineStr">
        <is>
          <t>sale</t>
        </is>
      </c>
      <c r="H111" t="n">
        <v>-6</v>
      </c>
      <c r="I111" t="n">
        <v>0</v>
      </c>
      <c r="J111" t="n">
        <v>0</v>
      </c>
      <c r="K111" t="inlineStr">
        <is>
          <t>f</t>
        </is>
      </c>
      <c r="L111">
        <f>H111*D111</f>
        <v/>
      </c>
    </row>
    <row r="112">
      <c r="A112" t="inlineStr">
        <is>
          <t>PARA500</t>
        </is>
      </c>
      <c r="B112" t="inlineStr">
        <is>
          <t>Paracetamol 500 mg</t>
        </is>
      </c>
      <c r="C112" t="inlineStr">
        <is>
          <t>PARA526122</t>
        </is>
      </c>
      <c r="D112" t="n">
        <v>395</v>
      </c>
      <c r="E112" t="inlineStr">
        <is>
          <t>2026-10-14</t>
        </is>
      </c>
      <c r="F112" t="inlineStr">
        <is>
          <t>11:45</t>
        </is>
      </c>
      <c r="G112" t="inlineStr">
        <is>
          <t>sale</t>
        </is>
      </c>
      <c r="H112" t="n">
        <v>-10</v>
      </c>
      <c r="I112" t="n">
        <v>0</v>
      </c>
      <c r="J112" t="n">
        <v>0</v>
      </c>
      <c r="K112" t="inlineStr">
        <is>
          <t>f</t>
        </is>
      </c>
      <c r="L112">
        <f>H112*D112</f>
        <v/>
      </c>
    </row>
    <row r="113">
      <c r="A113" t="inlineStr">
        <is>
          <t>PHENO100</t>
        </is>
      </c>
      <c r="B113" t="inlineStr">
        <is>
          <t>Phenobarbital 100 mg</t>
        </is>
      </c>
      <c r="C113" t="inlineStr">
        <is>
          <t>PHENO26122</t>
        </is>
      </c>
      <c r="D113" t="n">
        <v>438</v>
      </c>
      <c r="E113" t="inlineStr">
        <is>
          <t>2026-06-04</t>
        </is>
      </c>
      <c r="F113" t="inlineStr">
        <is>
          <t>08:09</t>
        </is>
      </c>
      <c r="G113" t="inlineStr">
        <is>
          <t>receipt</t>
        </is>
      </c>
      <c r="H113" t="n">
        <v>205</v>
      </c>
      <c r="I113" t="n">
        <v>0</v>
      </c>
      <c r="J113" t="n">
        <v>0</v>
      </c>
      <c r="K113" t="inlineStr">
        <is>
          <t>f</t>
        </is>
      </c>
      <c r="L113">
        <f>H113*D113</f>
        <v/>
      </c>
    </row>
    <row r="114">
      <c r="A114" t="inlineStr">
        <is>
          <t>PHENO100</t>
        </is>
      </c>
      <c r="B114" t="inlineStr">
        <is>
          <t>Phenobarbital 100 mg</t>
        </is>
      </c>
      <c r="C114" t="inlineStr">
        <is>
          <t>PHENO27051</t>
        </is>
      </c>
      <c r="D114" t="n">
        <v>390</v>
      </c>
      <c r="E114" t="inlineStr">
        <is>
          <t>2026-06-10</t>
        </is>
      </c>
      <c r="F114" t="inlineStr">
        <is>
          <t>08:10</t>
        </is>
      </c>
      <c r="G114" t="inlineStr">
        <is>
          <t>receipt</t>
        </is>
      </c>
      <c r="H114" t="n">
        <v>225</v>
      </c>
      <c r="I114" t="n">
        <v>0</v>
      </c>
      <c r="J114" t="n">
        <v>0</v>
      </c>
      <c r="K114" t="inlineStr">
        <is>
          <t>f</t>
        </is>
      </c>
      <c r="L114">
        <f>H114*D114</f>
        <v/>
      </c>
    </row>
    <row r="115">
      <c r="A115" t="inlineStr">
        <is>
          <t>POVI-SOL</t>
        </is>
      </c>
      <c r="B115" t="inlineStr">
        <is>
          <t>Povidone-iodine solution 10%</t>
        </is>
      </c>
      <c r="C115" t="inlineStr">
        <is>
          <t>POVIS27082</t>
        </is>
      </c>
      <c r="D115" t="n">
        <v>18000</v>
      </c>
      <c r="E115" t="inlineStr">
        <is>
          <t>2026-06-22</t>
        </is>
      </c>
      <c r="F115" t="inlineStr">
        <is>
          <t>08:12</t>
        </is>
      </c>
      <c r="G115" t="inlineStr">
        <is>
          <t>receipt</t>
        </is>
      </c>
      <c r="H115" t="n">
        <v>24</v>
      </c>
      <c r="I115" t="n">
        <v>0</v>
      </c>
      <c r="J115" t="n">
        <v>0</v>
      </c>
      <c r="K115" t="inlineStr">
        <is>
          <t>f</t>
        </is>
      </c>
      <c r="L115">
        <f>H115*D115</f>
        <v/>
      </c>
    </row>
    <row r="116">
      <c r="A116" t="inlineStr">
        <is>
          <t>POVI-SOL</t>
        </is>
      </c>
      <c r="B116" t="inlineStr">
        <is>
          <t>Povidone-iodine solution 10%</t>
        </is>
      </c>
      <c r="C116" t="inlineStr">
        <is>
          <t>POVIS27091</t>
        </is>
      </c>
      <c r="D116" t="n">
        <v>23700</v>
      </c>
      <c r="E116" t="inlineStr">
        <is>
          <t>2026-09-03</t>
        </is>
      </c>
      <c r="F116" t="inlineStr">
        <is>
          <t>08:20</t>
        </is>
      </c>
      <c r="G116" t="inlineStr">
        <is>
          <t>receipt</t>
        </is>
      </c>
      <c r="H116" t="n">
        <v>15</v>
      </c>
      <c r="I116" t="n">
        <v>0</v>
      </c>
      <c r="J116" t="n">
        <v>0</v>
      </c>
      <c r="K116" t="inlineStr">
        <is>
          <t>f</t>
        </is>
      </c>
      <c r="L116">
        <f>H116*D116</f>
        <v/>
      </c>
    </row>
    <row r="117">
      <c r="A117" t="inlineStr">
        <is>
          <t>PRED5</t>
        </is>
      </c>
      <c r="B117" t="inlineStr">
        <is>
          <t>Prednisolone 5 mg</t>
        </is>
      </c>
      <c r="C117" t="inlineStr">
        <is>
          <t>PRED527051</t>
        </is>
      </c>
      <c r="D117" t="n">
        <v>300</v>
      </c>
      <c r="E117" t="inlineStr">
        <is>
          <t>2026-06-10</t>
        </is>
      </c>
      <c r="F117" t="inlineStr">
        <is>
          <t>08:10</t>
        </is>
      </c>
      <c r="G117" t="inlineStr">
        <is>
          <t>receipt</t>
        </is>
      </c>
      <c r="H117" t="n">
        <v>394</v>
      </c>
      <c r="I117" t="n">
        <v>0</v>
      </c>
      <c r="J117" t="n">
        <v>0</v>
      </c>
      <c r="K117" t="inlineStr">
        <is>
          <t>f</t>
        </is>
      </c>
      <c r="L117">
        <f>H117*D117</f>
        <v/>
      </c>
    </row>
    <row r="118">
      <c r="A118" t="inlineStr">
        <is>
          <t>PRED5</t>
        </is>
      </c>
      <c r="B118" t="inlineStr">
        <is>
          <t>Prednisolone 5 mg</t>
        </is>
      </c>
      <c r="C118" t="inlineStr">
        <is>
          <t>PRED529032</t>
        </is>
      </c>
      <c r="D118" t="n">
        <v>335</v>
      </c>
      <c r="E118" t="inlineStr">
        <is>
          <t>2026-09-03</t>
        </is>
      </c>
      <c r="F118" t="inlineStr">
        <is>
          <t>08:20</t>
        </is>
      </c>
      <c r="G118" t="inlineStr">
        <is>
          <t>receipt</t>
        </is>
      </c>
      <c r="H118" t="n">
        <v>61</v>
      </c>
      <c r="I118" t="n">
        <v>0</v>
      </c>
      <c r="J118" t="n">
        <v>0</v>
      </c>
      <c r="K118" t="inlineStr">
        <is>
          <t>f</t>
        </is>
      </c>
      <c r="L118">
        <f>H118*D118</f>
        <v/>
      </c>
    </row>
    <row r="119">
      <c r="A119" t="inlineStr">
        <is>
          <t>SALB-INH</t>
        </is>
      </c>
      <c r="B119" t="inlineStr">
        <is>
          <t>Salbutamol inhaler 100 mcg</t>
        </is>
      </c>
      <c r="C119" t="inlineStr">
        <is>
          <t>SALBI27042</t>
        </is>
      </c>
      <c r="D119" t="n">
        <v>52700</v>
      </c>
      <c r="E119" t="inlineStr">
        <is>
          <t>2026-07-31</t>
        </is>
      </c>
      <c r="F119" t="inlineStr">
        <is>
          <t>08:16</t>
        </is>
      </c>
      <c r="G119" t="inlineStr">
        <is>
          <t>receipt</t>
        </is>
      </c>
      <c r="H119" t="n">
        <v>1</v>
      </c>
      <c r="I119" t="n">
        <v>0</v>
      </c>
      <c r="J119" t="n">
        <v>0</v>
      </c>
      <c r="K119" t="inlineStr">
        <is>
          <t>f</t>
        </is>
      </c>
      <c r="L119">
        <f>H119*D119</f>
        <v/>
      </c>
    </row>
    <row r="120">
      <c r="A120" t="inlineStr">
        <is>
          <t>SALB-INH</t>
        </is>
      </c>
      <c r="B120" t="inlineStr">
        <is>
          <t>Salbutamol inhaler 100 mcg</t>
        </is>
      </c>
      <c r="C120" t="inlineStr">
        <is>
          <t>SALBI27041</t>
        </is>
      </c>
      <c r="D120" t="n">
        <v>62900</v>
      </c>
      <c r="E120" t="inlineStr">
        <is>
          <t>2026-09-03</t>
        </is>
      </c>
      <c r="F120" t="inlineStr">
        <is>
          <t>08:20</t>
        </is>
      </c>
      <c r="G120" t="inlineStr">
        <is>
          <t>receipt</t>
        </is>
      </c>
      <c r="H120" t="n">
        <v>2</v>
      </c>
      <c r="I120" t="n">
        <v>0</v>
      </c>
      <c r="J120" t="n">
        <v>0</v>
      </c>
      <c r="K120" t="inlineStr">
        <is>
          <t>f</t>
        </is>
      </c>
      <c r="L120">
        <f>H120*D120</f>
        <v/>
      </c>
    </row>
    <row r="121">
      <c r="A121" t="inlineStr">
        <is>
          <t>SERT50</t>
        </is>
      </c>
      <c r="B121" t="inlineStr">
        <is>
          <t>Sertraline 50 mg</t>
        </is>
      </c>
      <c r="C121" t="inlineStr">
        <is>
          <t>SERT527071</t>
        </is>
      </c>
      <c r="D121" t="n">
        <v>4500</v>
      </c>
      <c r="E121" t="inlineStr">
        <is>
          <t>2026-07-31</t>
        </is>
      </c>
      <c r="F121" t="inlineStr">
        <is>
          <t>08:16</t>
        </is>
      </c>
      <c r="G121" t="inlineStr">
        <is>
          <t>receipt</t>
        </is>
      </c>
      <c r="H121" t="n">
        <v>255</v>
      </c>
      <c r="I121" t="n">
        <v>0</v>
      </c>
      <c r="J121" t="n">
        <v>0</v>
      </c>
      <c r="K121" t="inlineStr">
        <is>
          <t>f</t>
        </is>
      </c>
      <c r="L121">
        <f>H121*D121</f>
        <v/>
      </c>
    </row>
    <row r="122">
      <c r="A122" t="inlineStr">
        <is>
          <t>SERT50</t>
        </is>
      </c>
      <c r="B122" t="inlineStr">
        <is>
          <t>Sertraline 50 mg</t>
        </is>
      </c>
      <c r="C122" t="inlineStr">
        <is>
          <t>SERT527052</t>
        </is>
      </c>
      <c r="D122" t="n">
        <v>4200</v>
      </c>
      <c r="E122" t="inlineStr">
        <is>
          <t>2026-08-26</t>
        </is>
      </c>
      <c r="F122" t="inlineStr">
        <is>
          <t>08:19</t>
        </is>
      </c>
      <c r="G122" t="inlineStr">
        <is>
          <t>receipt</t>
        </is>
      </c>
      <c r="H122" t="n">
        <v>310</v>
      </c>
      <c r="I122" t="n">
        <v>0</v>
      </c>
      <c r="J122" t="n">
        <v>0</v>
      </c>
      <c r="K122" t="inlineStr">
        <is>
          <t>f</t>
        </is>
      </c>
      <c r="L122">
        <f>H122*D122</f>
        <v/>
      </c>
    </row>
    <row r="123">
      <c r="A123" t="inlineStr">
        <is>
          <t>SMEC3</t>
        </is>
      </c>
      <c r="B123" t="inlineStr">
        <is>
          <t>Diosmectite 3 g</t>
        </is>
      </c>
      <c r="C123" t="inlineStr">
        <is>
          <t>SMEC328031</t>
        </is>
      </c>
      <c r="D123" t="n">
        <v>3040</v>
      </c>
      <c r="E123" t="inlineStr">
        <is>
          <t>2026-06-13</t>
        </is>
      </c>
      <c r="F123" t="inlineStr">
        <is>
          <t>08:11</t>
        </is>
      </c>
      <c r="G123" t="inlineStr">
        <is>
          <t>receipt</t>
        </is>
      </c>
      <c r="H123" t="n">
        <v>236</v>
      </c>
      <c r="I123" t="n">
        <v>0</v>
      </c>
      <c r="J123" t="n">
        <v>0</v>
      </c>
      <c r="K123" t="inlineStr">
        <is>
          <t>f</t>
        </is>
      </c>
      <c r="L123">
        <f>H123*D123</f>
        <v/>
      </c>
    </row>
    <row r="124">
      <c r="A124" t="inlineStr">
        <is>
          <t>SMEC3</t>
        </is>
      </c>
      <c r="B124" t="inlineStr">
        <is>
          <t>Diosmectite 3 g</t>
        </is>
      </c>
      <c r="C124" t="inlineStr">
        <is>
          <t>SMEC329022</t>
        </is>
      </c>
      <c r="D124" t="n">
        <v>2520</v>
      </c>
      <c r="E124" t="inlineStr">
        <is>
          <t>2026-10-10</t>
        </is>
      </c>
      <c r="F124" t="inlineStr">
        <is>
          <t>08:24</t>
        </is>
      </c>
      <c r="G124" t="inlineStr">
        <is>
          <t>receipt</t>
        </is>
      </c>
      <c r="H124" t="n">
        <v>285</v>
      </c>
      <c r="I124" t="n">
        <v>0</v>
      </c>
      <c r="J124" t="n">
        <v>0</v>
      </c>
      <c r="K124" t="inlineStr">
        <is>
          <t>f</t>
        </is>
      </c>
      <c r="L124">
        <f>H124*D124</f>
        <v/>
      </c>
    </row>
    <row r="125">
      <c r="A125" t="inlineStr">
        <is>
          <t>TOBRA-EYE</t>
        </is>
      </c>
      <c r="B125" t="inlineStr">
        <is>
          <t>Tobramycin eye drops 0.3%</t>
        </is>
      </c>
      <c r="C125" t="inlineStr">
        <is>
          <t>TOBRA29032</t>
        </is>
      </c>
      <c r="D125" t="n">
        <v>32760</v>
      </c>
      <c r="E125" t="inlineStr">
        <is>
          <t>2026-06-13</t>
        </is>
      </c>
      <c r="F125" t="inlineStr">
        <is>
          <t>08:11</t>
        </is>
      </c>
      <c r="G125" t="inlineStr">
        <is>
          <t>receipt</t>
        </is>
      </c>
      <c r="H125" t="n">
        <v>5</v>
      </c>
      <c r="I125" t="n">
        <v>0</v>
      </c>
      <c r="J125" t="n">
        <v>0</v>
      </c>
      <c r="K125" t="inlineStr">
        <is>
          <t>f</t>
        </is>
      </c>
      <c r="L125">
        <f>H125*D125</f>
        <v/>
      </c>
    </row>
    <row r="126">
      <c r="A126" t="inlineStr">
        <is>
          <t>TOBRA-EYE</t>
        </is>
      </c>
      <c r="B126" t="inlineStr">
        <is>
          <t>Tobramycin eye drops 0.3%</t>
        </is>
      </c>
      <c r="C126" t="inlineStr">
        <is>
          <t>TOBRA28041</t>
        </is>
      </c>
      <c r="D126" t="n">
        <v>30660</v>
      </c>
      <c r="E126" t="inlineStr">
        <is>
          <t>2026-08-22</t>
        </is>
      </c>
      <c r="F126" t="inlineStr">
        <is>
          <t>08:18</t>
        </is>
      </c>
      <c r="G126" t="inlineStr">
        <is>
          <t>receipt</t>
        </is>
      </c>
      <c r="H126" t="n">
        <v>8</v>
      </c>
      <c r="I126" t="n">
        <v>0</v>
      </c>
      <c r="J126" t="n">
        <v>0</v>
      </c>
      <c r="K126" t="inlineStr">
        <is>
          <t>f</t>
        </is>
      </c>
      <c r="L126">
        <f>H126*D126</f>
        <v/>
      </c>
    </row>
    <row r="127">
      <c r="A127" t="inlineStr">
        <is>
          <t>TRAM50</t>
        </is>
      </c>
      <c r="B127" t="inlineStr">
        <is>
          <t>Tramadol 50 mg</t>
        </is>
      </c>
      <c r="C127" t="inlineStr">
        <is>
          <t>TRAM527092</t>
        </is>
      </c>
      <c r="D127" t="n">
        <v>1800</v>
      </c>
      <c r="E127" t="inlineStr">
        <is>
          <t>2026-08-22</t>
        </is>
      </c>
      <c r="F127" t="inlineStr">
        <is>
          <t>08:18</t>
        </is>
      </c>
      <c r="G127" t="inlineStr">
        <is>
          <t>receipt</t>
        </is>
      </c>
      <c r="H127" t="n">
        <v>260</v>
      </c>
      <c r="I127" t="n">
        <v>0</v>
      </c>
      <c r="J127" t="n">
        <v>0</v>
      </c>
      <c r="K127" t="inlineStr">
        <is>
          <t>f</t>
        </is>
      </c>
      <c r="L127">
        <f>H127*D127</f>
        <v/>
      </c>
    </row>
    <row r="128">
      <c r="A128" t="inlineStr">
        <is>
          <t>TRAM50</t>
        </is>
      </c>
      <c r="B128" t="inlineStr">
        <is>
          <t>Tramadol 50 mg</t>
        </is>
      </c>
      <c r="C128" t="inlineStr">
        <is>
          <t>TRAM527121</t>
        </is>
      </c>
      <c r="D128" t="n">
        <v>1600</v>
      </c>
      <c r="E128" t="inlineStr">
        <is>
          <t>2026-10-02</t>
        </is>
      </c>
      <c r="F128" t="inlineStr">
        <is>
          <t>08:23</t>
        </is>
      </c>
      <c r="G128" t="inlineStr">
        <is>
          <t>receipt</t>
        </is>
      </c>
      <c r="H128" t="n">
        <v>252</v>
      </c>
      <c r="I128" t="n">
        <v>0</v>
      </c>
      <c r="J128" t="n">
        <v>0</v>
      </c>
      <c r="K128" t="inlineStr">
        <is>
          <t>f</t>
        </is>
      </c>
      <c r="L128">
        <f>H128*D128</f>
        <v/>
      </c>
    </row>
    <row r="129">
      <c r="A129" t="inlineStr">
        <is>
          <t>VITB-COMP</t>
        </is>
      </c>
      <c r="B129" t="inlineStr">
        <is>
          <t>Vitamin B complex</t>
        </is>
      </c>
      <c r="C129" t="inlineStr">
        <is>
          <t>VITBC27122</t>
        </is>
      </c>
      <c r="D129" t="n">
        <v>525</v>
      </c>
      <c r="E129" t="inlineStr">
        <is>
          <t>2026-06-04</t>
        </is>
      </c>
      <c r="F129" t="inlineStr">
        <is>
          <t>08:09</t>
        </is>
      </c>
      <c r="G129" t="inlineStr">
        <is>
          <t>receipt</t>
        </is>
      </c>
      <c r="H129" t="n">
        <v>391</v>
      </c>
      <c r="I129" t="n">
        <v>0</v>
      </c>
      <c r="J129" t="n">
        <v>0</v>
      </c>
      <c r="K129" t="inlineStr">
        <is>
          <t>f</t>
        </is>
      </c>
      <c r="L129">
        <f>H129*D129</f>
        <v/>
      </c>
    </row>
    <row r="130">
      <c r="A130" t="inlineStr">
        <is>
          <t>VITB-COMP</t>
        </is>
      </c>
      <c r="B130" t="inlineStr">
        <is>
          <t>Vitamin B complex</t>
        </is>
      </c>
      <c r="C130" t="inlineStr">
        <is>
          <t>VITBC28101</t>
        </is>
      </c>
      <c r="D130" t="n">
        <v>483</v>
      </c>
      <c r="E130" t="inlineStr">
        <is>
          <t>2026-07-20</t>
        </is>
      </c>
      <c r="F130" t="inlineStr">
        <is>
          <t>08:15</t>
        </is>
      </c>
      <c r="G130" t="inlineStr">
        <is>
          <t>receipt</t>
        </is>
      </c>
      <c r="H130" t="n">
        <v>82</v>
      </c>
      <c r="I130" t="n">
        <v>0</v>
      </c>
      <c r="J130" t="n">
        <v>0</v>
      </c>
      <c r="K130" t="inlineStr">
        <is>
          <t>f</t>
        </is>
      </c>
      <c r="L130">
        <f>H130*D130</f>
        <v/>
      </c>
    </row>
    <row r="131">
      <c r="A131" t="inlineStr">
        <is>
          <t>VITC500</t>
        </is>
      </c>
      <c r="B131" t="inlineStr">
        <is>
          <t>Vitamin C 500 mg</t>
        </is>
      </c>
      <c r="C131" t="inlineStr">
        <is>
          <t>VITC527061</t>
        </is>
      </c>
      <c r="D131" t="n">
        <v>549</v>
      </c>
      <c r="E131" t="inlineStr">
        <is>
          <t>2026-07-14</t>
        </is>
      </c>
      <c r="F131" t="inlineStr">
        <is>
          <t>08:14</t>
        </is>
      </c>
      <c r="G131" t="inlineStr">
        <is>
          <t>receipt</t>
        </is>
      </c>
      <c r="H131" t="n">
        <v>67</v>
      </c>
      <c r="I131" t="n">
        <v>0</v>
      </c>
      <c r="J131" t="n">
        <v>0</v>
      </c>
      <c r="K131" t="inlineStr">
        <is>
          <t>f</t>
        </is>
      </c>
      <c r="L131">
        <f>H131*D131</f>
        <v/>
      </c>
    </row>
    <row r="132">
      <c r="A132" t="inlineStr">
        <is>
          <t>VITC500</t>
        </is>
      </c>
      <c r="B132" t="inlineStr">
        <is>
          <t>Vitamin C 500 mg</t>
        </is>
      </c>
      <c r="C132" t="inlineStr">
        <is>
          <t>VITC528102</t>
        </is>
      </c>
      <c r="D132" t="n">
        <v>567</v>
      </c>
      <c r="E132" t="inlineStr">
        <is>
          <t>2026-08-10</t>
        </is>
      </c>
      <c r="F132" t="inlineStr">
        <is>
          <t>08:17</t>
        </is>
      </c>
      <c r="G132" t="inlineStr">
        <is>
          <t>receipt</t>
        </is>
      </c>
      <c r="H132" t="n">
        <v>152</v>
      </c>
      <c r="I132" t="n">
        <v>0</v>
      </c>
      <c r="J132" t="n">
        <v>0</v>
      </c>
      <c r="K132" t="inlineStr">
        <is>
          <t>f</t>
        </is>
      </c>
      <c r="L132">
        <f>H132*D132</f>
        <v/>
      </c>
    </row>
    <row r="133">
      <c r="A133" t="inlineStr">
        <is>
          <t>VITC500</t>
        </is>
      </c>
      <c r="B133" t="inlineStr">
        <is>
          <t>Vitamin C 500 mg</t>
        </is>
      </c>
      <c r="C133" t="inlineStr">
        <is>
          <t>VITC527061</t>
        </is>
      </c>
      <c r="D133" t="n">
        <v>549</v>
      </c>
      <c r="E133" t="inlineStr">
        <is>
          <t>2026-09-02</t>
        </is>
      </c>
      <c r="F133" t="inlineStr">
        <is>
          <t>11:41</t>
        </is>
      </c>
      <c r="G133" t="inlineStr">
        <is>
          <t>sale</t>
        </is>
      </c>
      <c r="H133" t="n">
        <v>-7</v>
      </c>
      <c r="I133" t="n">
        <v>0</v>
      </c>
      <c r="J133" t="n">
        <v>0</v>
      </c>
      <c r="K133" t="inlineStr">
        <is>
          <t>f</t>
        </is>
      </c>
      <c r="L133">
        <f>H133*D133</f>
        <v/>
      </c>
    </row>
    <row r="134">
      <c r="A134" t="inlineStr">
        <is>
          <t>VITC500</t>
        </is>
      </c>
      <c r="B134" t="inlineStr">
        <is>
          <t>Vitamin C 500 mg</t>
        </is>
      </c>
      <c r="C134" t="inlineStr">
        <is>
          <t>VITC527061</t>
        </is>
      </c>
      <c r="D134" t="n">
        <v>549</v>
      </c>
      <c r="E134" t="inlineStr">
        <is>
          <t>2026-09-08</t>
        </is>
      </c>
      <c r="F134" t="inlineStr">
        <is>
          <t>16:06</t>
        </is>
      </c>
      <c r="G134" t="inlineStr">
        <is>
          <t>sale</t>
        </is>
      </c>
      <c r="H134" t="n">
        <v>-8</v>
      </c>
      <c r="I134" t="n">
        <v>0</v>
      </c>
      <c r="J134" t="n">
        <v>0</v>
      </c>
      <c r="K134" t="inlineStr">
        <is>
          <t>f</t>
        </is>
      </c>
      <c r="L134">
        <f>H134*D134</f>
        <v/>
      </c>
    </row>
    <row r="135">
      <c r="A135" t="inlineStr">
        <is>
          <t>VITC500</t>
        </is>
      </c>
      <c r="B135" t="inlineStr">
        <is>
          <t>Vitamin C 500 mg</t>
        </is>
      </c>
      <c r="C135" t="inlineStr">
        <is>
          <t>VITC527061</t>
        </is>
      </c>
      <c r="D135" t="n">
        <v>549</v>
      </c>
      <c r="E135" t="inlineStr">
        <is>
          <t>2026-09-16</t>
        </is>
      </c>
      <c r="F135" t="inlineStr">
        <is>
          <t>16:25</t>
        </is>
      </c>
      <c r="G135" t="inlineStr">
        <is>
          <t>sale</t>
        </is>
      </c>
      <c r="H135" t="n">
        <v>-5</v>
      </c>
      <c r="I135" t="n">
        <v>0</v>
      </c>
      <c r="J135" t="n">
        <v>0</v>
      </c>
      <c r="K135" t="inlineStr">
        <is>
          <t>f</t>
        </is>
      </c>
      <c r="L135">
        <f>H135*D135</f>
        <v/>
      </c>
    </row>
    <row r="136">
      <c r="A136" t="inlineStr">
        <is>
          <t>VITC500</t>
        </is>
      </c>
      <c r="B136" t="inlineStr">
        <is>
          <t>Vitamin C 500 mg</t>
        </is>
      </c>
      <c r="C136" t="inlineStr">
        <is>
          <t>VITC527061</t>
        </is>
      </c>
      <c r="D136" t="n">
        <v>549</v>
      </c>
      <c r="E136" t="inlineStr">
        <is>
          <t>2026-09-22</t>
        </is>
      </c>
      <c r="F136" t="inlineStr">
        <is>
          <t>11:16</t>
        </is>
      </c>
      <c r="G136" t="inlineStr">
        <is>
          <t>sale</t>
        </is>
      </c>
      <c r="H136" t="n">
        <v>-7</v>
      </c>
      <c r="I136" t="n">
        <v>0</v>
      </c>
      <c r="J136" t="n">
        <v>0</v>
      </c>
      <c r="K136" t="inlineStr">
        <is>
          <t>f</t>
        </is>
      </c>
      <c r="L136">
        <f>H136*D136</f>
        <v/>
      </c>
    </row>
    <row r="137">
      <c r="A137" t="inlineStr">
        <is>
          <t>VITC500</t>
        </is>
      </c>
      <c r="B137" t="inlineStr">
        <is>
          <t>Vitamin C 500 mg</t>
        </is>
      </c>
      <c r="C137" t="inlineStr">
        <is>
          <t>VITC527061</t>
        </is>
      </c>
      <c r="D137" t="n">
        <v>549</v>
      </c>
      <c r="E137" t="inlineStr">
        <is>
          <t>2026-10-01</t>
        </is>
      </c>
      <c r="F137" t="inlineStr">
        <is>
          <t>08:30</t>
        </is>
      </c>
      <c r="G137" t="inlineStr">
        <is>
          <t>return</t>
        </is>
      </c>
      <c r="H137" t="n">
        <v>0</v>
      </c>
      <c r="I137" t="n">
        <v>1</v>
      </c>
      <c r="J137" t="n">
        <v>0</v>
      </c>
      <c r="K137" t="inlineStr">
        <is>
          <t>f</t>
        </is>
      </c>
      <c r="L137">
        <f>H137*D137</f>
        <v/>
      </c>
    </row>
    <row r="138">
      <c r="A138" t="inlineStr">
        <is>
          <t>VITC500</t>
        </is>
      </c>
      <c r="B138" t="inlineStr">
        <is>
          <t>Vitamin C 500 mg</t>
        </is>
      </c>
      <c r="C138" t="inlineStr">
        <is>
          <t>VITC527061</t>
        </is>
      </c>
      <c r="D138" t="n">
        <v>549</v>
      </c>
      <c r="E138" t="inlineStr">
        <is>
          <t>2026-10-01</t>
        </is>
      </c>
      <c r="F138" t="inlineStr">
        <is>
          <t>08:45</t>
        </is>
      </c>
      <c r="G138" t="inlineStr">
        <is>
          <t>reject</t>
        </is>
      </c>
      <c r="H138" t="n">
        <v>0</v>
      </c>
      <c r="I138" t="n">
        <v>-1</v>
      </c>
      <c r="J138" t="n">
        <v>1</v>
      </c>
      <c r="K138" t="inlineStr">
        <is>
          <t>f</t>
        </is>
      </c>
      <c r="L138">
        <f>H138*D138</f>
        <v/>
      </c>
    </row>
    <row r="139">
      <c r="A139" t="inlineStr">
        <is>
          <t>ZINC10</t>
        </is>
      </c>
      <c r="B139" t="inlineStr">
        <is>
          <t>Zinc gluconate 10 mg</t>
        </is>
      </c>
      <c r="C139" t="inlineStr">
        <is>
          <t>ZINC126122</t>
        </is>
      </c>
      <c r="D139" t="n">
        <v>1332</v>
      </c>
      <c r="E139" t="inlineStr">
        <is>
          <t>2026-04-17</t>
        </is>
      </c>
      <c r="F139" t="inlineStr">
        <is>
          <t>08:06</t>
        </is>
      </c>
      <c r="G139" t="inlineStr">
        <is>
          <t>receipt</t>
        </is>
      </c>
      <c r="H139" t="n">
        <v>303</v>
      </c>
      <c r="I139" t="n">
        <v>0</v>
      </c>
      <c r="J139" t="n">
        <v>0</v>
      </c>
      <c r="K139" t="inlineStr">
        <is>
          <t>f</t>
        </is>
      </c>
      <c r="L139">
        <f>H139*D139</f>
        <v/>
      </c>
    </row>
    <row r="140">
      <c r="A140" t="inlineStr">
        <is>
          <t>ZINC10</t>
        </is>
      </c>
      <c r="B140" t="inlineStr">
        <is>
          <t>Zinc gluconate 10 mg</t>
        </is>
      </c>
      <c r="C140" t="inlineStr">
        <is>
          <t>ZINC128031</t>
        </is>
      </c>
      <c r="D140" t="n">
        <v>1404</v>
      </c>
      <c r="E140" t="inlineStr">
        <is>
          <t>2026-05-29</t>
        </is>
      </c>
      <c r="F140" t="inlineStr">
        <is>
          <t>08:07</t>
        </is>
      </c>
      <c r="G140" t="inlineStr">
        <is>
          <t>receipt</t>
        </is>
      </c>
      <c r="H140" t="n">
        <v>94</v>
      </c>
      <c r="I140" t="n">
        <v>0</v>
      </c>
      <c r="J140" t="n">
        <v>0</v>
      </c>
      <c r="K140" t="inlineStr">
        <is>
          <t>f</t>
        </is>
      </c>
      <c r="L140">
        <f>H140*D140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period_from</t>
        </is>
      </c>
      <c r="B1" s="1" t="inlineStr">
        <is>
          <t>period_to</t>
        </is>
      </c>
      <c r="C1" s="1" t="inlineStr">
        <is>
          <t>medicine</t>
        </is>
      </c>
      <c r="D1" s="1" t="inlineStr">
        <is>
          <t>opening</t>
        </is>
      </c>
      <c r="E1" s="1" t="inlineStr">
        <is>
          <t>received</t>
        </is>
      </c>
      <c r="F1" s="1" t="inlineStr">
        <is>
          <t>dispensed</t>
        </is>
      </c>
      <c r="G1" s="1" t="inlineStr">
        <is>
          <t>sold</t>
        </is>
      </c>
      <c r="H1" s="1" t="inlineStr">
        <is>
          <t>returned</t>
        </is>
      </c>
      <c r="I1" s="1" t="inlineStr">
        <is>
          <t>released</t>
        </is>
      </c>
      <c r="J1" s="1" t="inlineStr">
        <is>
          <t>rejected</t>
        </is>
      </c>
      <c r="K1" s="1" t="inlineStr">
        <is>
          <t>writtenOff</t>
        </is>
      </c>
      <c r="L1" s="1" t="inlineStr">
        <is>
          <t>destroyed</t>
        </is>
      </c>
      <c r="M1" s="1" t="inlineStr">
        <is>
          <t>adjusted</t>
        </is>
      </c>
      <c r="N1" s="1" t="inlineStr">
        <is>
          <t>closing</t>
        </is>
      </c>
      <c r="O1" s="1" t="inlineStr">
        <is>
          <t>netIssued</t>
        </is>
      </c>
      <c r="P1" s="1" t="inlineStr">
        <is>
          <t>costNetIssued</t>
        </is>
      </c>
    </row>
    <row r="2">
      <c r="A2" t="inlineStr">
        <is>
          <t>2026-09-01</t>
        </is>
      </c>
      <c r="B2" t="inlineStr">
        <is>
          <t>2026-09-30</t>
        </is>
      </c>
      <c r="C2" t="inlineStr">
        <is>
          <t>BROM8</t>
        </is>
      </c>
      <c r="D2">
        <f>SUMIFS(Movements!$H$2:$H$140,Movements!$A$2:$A$140,$C2,Movements!$E$2:$E$140,"&lt;"&amp;$A2)+SUMIFS(Movements!$I$2:$I$140,Movements!$A$2:$A$140,$C2,Movements!$E$2:$E$140,"&lt;"&amp;$A2)+SUMIFS(Movements!$J$2:$J$140,Movements!$A$2:$A$140,$C2,Movements!$E$2:$E$140,"&lt;"&amp;$A2)</f>
        <v/>
      </c>
      <c r="E2">
        <f>SUMIFS(Movements!$H$2:$H$140,Movements!$A$2:$A$140,$C2,Movements!$E$2:$E$140,"&gt;="&amp;$A2,Movements!$E$2:$E$140,"&lt;="&amp;$B2,Movements!$G$2:$G$140,"receipt")</f>
        <v/>
      </c>
      <c r="F2">
        <f>-SUMIFS(Movements!$H$2:$H$140,Movements!$A$2:$A$140,$C2,Movements!$E$2:$E$140,"&gt;="&amp;$A2,Movements!$E$2:$E$140,"&lt;="&amp;$B2,Movements!$G$2:$G$140,"dispense")</f>
        <v/>
      </c>
      <c r="G2">
        <f>-SUMIFS(Movements!$H$2:$H$140,Movements!$A$2:$A$140,$C2,Movements!$E$2:$E$140,"&gt;="&amp;$A2,Movements!$E$2:$E$140,"&lt;="&amp;$B2,Movements!$G$2:$G$140,"sale")</f>
        <v/>
      </c>
      <c r="H2">
        <f>SUMIFS(Movements!$I$2:$I$140,Movements!$A$2:$A$140,$C2,Movements!$E$2:$E$140,"&gt;="&amp;$A2,Movements!$E$2:$E$140,"&lt;="&amp;$B2,Movements!$G$2:$G$140,"return")</f>
        <v/>
      </c>
      <c r="I2">
        <f>SUMIFS(Movements!$H$2:$H$140,Movements!$A$2:$A$140,$C2,Movements!$E$2:$E$140,"&gt;="&amp;$A2,Movements!$E$2:$E$140,"&lt;="&amp;$B2,Movements!$G$2:$G$140,"release")</f>
        <v/>
      </c>
      <c r="J2">
        <f>SUMIFS(Movements!$J$2:$J$140,Movements!$A$2:$A$140,$C2,Movements!$E$2:$E$140,"&gt;="&amp;$A2,Movements!$E$2:$E$140,"&lt;="&amp;$B2,Movements!$G$2:$G$140,"reject")</f>
        <v/>
      </c>
      <c r="K2">
        <f>SUMIFS(Movements!$J$2:$J$140,Movements!$A$2:$A$140,$C2,Movements!$E$2:$E$140,"&gt;="&amp;$A2,Movements!$E$2:$E$140,"&lt;="&amp;$B2,Movements!$G$2:$G$140,"write_off")</f>
        <v/>
      </c>
      <c r="L2">
        <f>-SUMIFS(Movements!$J$2:$J$140,Movements!$A$2:$A$140,$C2,Movements!$E$2:$E$140,"&gt;="&amp;$A2,Movements!$E$2:$E$140,"&lt;="&amp;$B2,Movements!$G$2:$G$140,"destroy")</f>
        <v/>
      </c>
      <c r="M2">
        <f>SUMIFS(Movements!$H$2:$H$140,Movements!$A$2:$A$140,$C2,Movements!$E$2:$E$140,"&gt;="&amp;$A2,Movements!$E$2:$E$140,"&lt;="&amp;$B2,Movements!$G$2:$G$140,"adjustment")</f>
        <v/>
      </c>
      <c r="N2">
        <f>D2+SUMIFS(Movements!$H$2:$H$140,Movements!$A$2:$A$140,$C2,Movements!$E$2:$E$140,"&gt;="&amp;$A2,Movements!$E$2:$E$140,"&lt;="&amp;$B2)+SUMIFS(Movements!$I$2:$I$140,Movements!$A$2:$A$140,$C2,Movements!$E$2:$E$140,"&gt;="&amp;$A2,Movements!$E$2:$E$140,"&lt;="&amp;$B2)+SUMIFS(Movements!$J$2:$J$140,Movements!$A$2:$A$140,$C2,Movements!$E$2:$E$140,"&gt;="&amp;$A2,Movements!$E$2:$E$140,"&lt;="&amp;$B2)</f>
        <v/>
      </c>
      <c r="O2">
        <f>F2+G2-I2</f>
        <v/>
      </c>
      <c r="P2">
        <f>-SUMIFS(Movements!$L$2:$L$140,Movements!$A$2:$A$140,$C2,Movements!$E$2:$E$140,"&gt;="&amp;$A2,Movements!$E$2:$E$140,"&lt;="&amp;$B2,Movements!$G$2:$G$140,"dispense")-SUMIFS(Movements!$L$2:$L$140,Movements!$A$2:$A$140,$C2,Movements!$E$2:$E$140,"&gt;="&amp;$A2,Movements!$E$2:$E$140,"&lt;="&amp;$B2,Movements!$G$2:$G$140,"sale")-SUMIFS(Movements!$L$2:$L$140,Movements!$A$2:$A$140,$C2,Movements!$E$2:$E$140,"&gt;="&amp;$A2,Movements!$E$2:$E$140,"&lt;="&amp;$B2,Movements!$G$2:$G$140,"release")</f>
        <v/>
      </c>
    </row>
    <row r="3">
      <c r="A3" t="inlineStr">
        <is>
          <t>2026-09-01</t>
        </is>
      </c>
      <c r="B3" t="inlineStr">
        <is>
          <t>2026-09-30</t>
        </is>
      </c>
      <c r="C3" t="inlineStr">
        <is>
          <t>LORA10</t>
        </is>
      </c>
      <c r="D3">
        <f>SUMIFS(Movements!$H$2:$H$140,Movements!$A$2:$A$140,$C3,Movements!$E$2:$E$140,"&lt;"&amp;$A3)+SUMIFS(Movements!$I$2:$I$140,Movements!$A$2:$A$140,$C3,Movements!$E$2:$E$140,"&lt;"&amp;$A3)+SUMIFS(Movements!$J$2:$J$140,Movements!$A$2:$A$140,$C3,Movements!$E$2:$E$140,"&lt;"&amp;$A3)</f>
        <v/>
      </c>
      <c r="E3">
        <f>SUMIFS(Movements!$H$2:$H$140,Movements!$A$2:$A$140,$C3,Movements!$E$2:$E$140,"&gt;="&amp;$A3,Movements!$E$2:$E$140,"&lt;="&amp;$B3,Movements!$G$2:$G$140,"receipt")</f>
        <v/>
      </c>
      <c r="F3">
        <f>-SUMIFS(Movements!$H$2:$H$140,Movements!$A$2:$A$140,$C3,Movements!$E$2:$E$140,"&gt;="&amp;$A3,Movements!$E$2:$E$140,"&lt;="&amp;$B3,Movements!$G$2:$G$140,"dispense")</f>
        <v/>
      </c>
      <c r="G3">
        <f>-SUMIFS(Movements!$H$2:$H$140,Movements!$A$2:$A$140,$C3,Movements!$E$2:$E$140,"&gt;="&amp;$A3,Movements!$E$2:$E$140,"&lt;="&amp;$B3,Movements!$G$2:$G$140,"sale")</f>
        <v/>
      </c>
      <c r="H3">
        <f>SUMIFS(Movements!$I$2:$I$140,Movements!$A$2:$A$140,$C3,Movements!$E$2:$E$140,"&gt;="&amp;$A3,Movements!$E$2:$E$140,"&lt;="&amp;$B3,Movements!$G$2:$G$140,"return")</f>
        <v/>
      </c>
      <c r="I3">
        <f>SUMIFS(Movements!$H$2:$H$140,Movements!$A$2:$A$140,$C3,Movements!$E$2:$E$140,"&gt;="&amp;$A3,Movements!$E$2:$E$140,"&lt;="&amp;$B3,Movements!$G$2:$G$140,"release")</f>
        <v/>
      </c>
      <c r="J3">
        <f>SUMIFS(Movements!$J$2:$J$140,Movements!$A$2:$A$140,$C3,Movements!$E$2:$E$140,"&gt;="&amp;$A3,Movements!$E$2:$E$140,"&lt;="&amp;$B3,Movements!$G$2:$G$140,"reject")</f>
        <v/>
      </c>
      <c r="K3">
        <f>SUMIFS(Movements!$J$2:$J$140,Movements!$A$2:$A$140,$C3,Movements!$E$2:$E$140,"&gt;="&amp;$A3,Movements!$E$2:$E$140,"&lt;="&amp;$B3,Movements!$G$2:$G$140,"write_off")</f>
        <v/>
      </c>
      <c r="L3">
        <f>-SUMIFS(Movements!$J$2:$J$140,Movements!$A$2:$A$140,$C3,Movements!$E$2:$E$140,"&gt;="&amp;$A3,Movements!$E$2:$E$140,"&lt;="&amp;$B3,Movements!$G$2:$G$140,"destroy")</f>
        <v/>
      </c>
      <c r="M3">
        <f>SUMIFS(Movements!$H$2:$H$140,Movements!$A$2:$A$140,$C3,Movements!$E$2:$E$140,"&gt;="&amp;$A3,Movements!$E$2:$E$140,"&lt;="&amp;$B3,Movements!$G$2:$G$140,"adjustment")</f>
        <v/>
      </c>
      <c r="N3">
        <f>D3+SUMIFS(Movements!$H$2:$H$140,Movements!$A$2:$A$140,$C3,Movements!$E$2:$E$140,"&gt;="&amp;$A3,Movements!$E$2:$E$140,"&lt;="&amp;$B3)+SUMIFS(Movements!$I$2:$I$140,Movements!$A$2:$A$140,$C3,Movements!$E$2:$E$140,"&gt;="&amp;$A3,Movements!$E$2:$E$140,"&lt;="&amp;$B3)+SUMIFS(Movements!$J$2:$J$140,Movements!$A$2:$A$140,$C3,Movements!$E$2:$E$140,"&gt;="&amp;$A3,Movements!$E$2:$E$140,"&lt;="&amp;$B3)</f>
        <v/>
      </c>
      <c r="O3">
        <f>F3+G3-I3</f>
        <v/>
      </c>
      <c r="P3">
        <f>-SUMIFS(Movements!$L$2:$L$140,Movements!$A$2:$A$140,$C3,Movements!$E$2:$E$140,"&gt;="&amp;$A3,Movements!$E$2:$E$140,"&lt;="&amp;$B3,Movements!$G$2:$G$140,"dispense")-SUMIFS(Movements!$L$2:$L$140,Movements!$A$2:$A$140,$C3,Movements!$E$2:$E$140,"&gt;="&amp;$A3,Movements!$E$2:$E$140,"&lt;="&amp;$B3,Movements!$G$2:$G$140,"sale")-SUMIFS(Movements!$L$2:$L$140,Movements!$A$2:$A$140,$C3,Movements!$E$2:$E$140,"&gt;="&amp;$A3,Movements!$E$2:$E$140,"&lt;="&amp;$B3,Movements!$G$2:$G$140,"release")</f>
        <v/>
      </c>
    </row>
    <row r="4">
      <c r="A4" t="inlineStr">
        <is>
          <t>2026-09-01</t>
        </is>
      </c>
      <c r="B4" t="inlineStr">
        <is>
          <t>2026-09-30</t>
        </is>
      </c>
      <c r="C4" t="inlineStr">
        <is>
          <t>PARA500</t>
        </is>
      </c>
      <c r="D4">
        <f>SUMIFS(Movements!$H$2:$H$140,Movements!$A$2:$A$140,$C4,Movements!$E$2:$E$140,"&lt;"&amp;$A4)+SUMIFS(Movements!$I$2:$I$140,Movements!$A$2:$A$140,$C4,Movements!$E$2:$E$140,"&lt;"&amp;$A4)+SUMIFS(Movements!$J$2:$J$140,Movements!$A$2:$A$140,$C4,Movements!$E$2:$E$140,"&lt;"&amp;$A4)</f>
        <v/>
      </c>
      <c r="E4">
        <f>SUMIFS(Movements!$H$2:$H$140,Movements!$A$2:$A$140,$C4,Movements!$E$2:$E$140,"&gt;="&amp;$A4,Movements!$E$2:$E$140,"&lt;="&amp;$B4,Movements!$G$2:$G$140,"receipt")</f>
        <v/>
      </c>
      <c r="F4">
        <f>-SUMIFS(Movements!$H$2:$H$140,Movements!$A$2:$A$140,$C4,Movements!$E$2:$E$140,"&gt;="&amp;$A4,Movements!$E$2:$E$140,"&lt;="&amp;$B4,Movements!$G$2:$G$140,"dispense")</f>
        <v/>
      </c>
      <c r="G4">
        <f>-SUMIFS(Movements!$H$2:$H$140,Movements!$A$2:$A$140,$C4,Movements!$E$2:$E$140,"&gt;="&amp;$A4,Movements!$E$2:$E$140,"&lt;="&amp;$B4,Movements!$G$2:$G$140,"sale")</f>
        <v/>
      </c>
      <c r="H4">
        <f>SUMIFS(Movements!$I$2:$I$140,Movements!$A$2:$A$140,$C4,Movements!$E$2:$E$140,"&gt;="&amp;$A4,Movements!$E$2:$E$140,"&lt;="&amp;$B4,Movements!$G$2:$G$140,"return")</f>
        <v/>
      </c>
      <c r="I4">
        <f>SUMIFS(Movements!$H$2:$H$140,Movements!$A$2:$A$140,$C4,Movements!$E$2:$E$140,"&gt;="&amp;$A4,Movements!$E$2:$E$140,"&lt;="&amp;$B4,Movements!$G$2:$G$140,"release")</f>
        <v/>
      </c>
      <c r="J4">
        <f>SUMIFS(Movements!$J$2:$J$140,Movements!$A$2:$A$140,$C4,Movements!$E$2:$E$140,"&gt;="&amp;$A4,Movements!$E$2:$E$140,"&lt;="&amp;$B4,Movements!$G$2:$G$140,"reject")</f>
        <v/>
      </c>
      <c r="K4">
        <f>SUMIFS(Movements!$J$2:$J$140,Movements!$A$2:$A$140,$C4,Movements!$E$2:$E$140,"&gt;="&amp;$A4,Movements!$E$2:$E$140,"&lt;="&amp;$B4,Movements!$G$2:$G$140,"write_off")</f>
        <v/>
      </c>
      <c r="L4">
        <f>-SUMIFS(Movements!$J$2:$J$140,Movements!$A$2:$A$140,$C4,Movements!$E$2:$E$140,"&gt;="&amp;$A4,Movements!$E$2:$E$140,"&lt;="&amp;$B4,Movements!$G$2:$G$140,"destroy")</f>
        <v/>
      </c>
      <c r="M4">
        <f>SUMIFS(Movements!$H$2:$H$140,Movements!$A$2:$A$140,$C4,Movements!$E$2:$E$140,"&gt;="&amp;$A4,Movements!$E$2:$E$140,"&lt;="&amp;$B4,Movements!$G$2:$G$140,"adjustment")</f>
        <v/>
      </c>
      <c r="N4">
        <f>D4+SUMIFS(Movements!$H$2:$H$140,Movements!$A$2:$A$140,$C4,Movements!$E$2:$E$140,"&gt;="&amp;$A4,Movements!$E$2:$E$140,"&lt;="&amp;$B4)+SUMIFS(Movements!$I$2:$I$140,Movements!$A$2:$A$140,$C4,Movements!$E$2:$E$140,"&gt;="&amp;$A4,Movements!$E$2:$E$140,"&lt;="&amp;$B4)+SUMIFS(Movements!$J$2:$J$140,Movements!$A$2:$A$140,$C4,Movements!$E$2:$E$140,"&gt;="&amp;$A4,Movements!$E$2:$E$140,"&lt;="&amp;$B4)</f>
        <v/>
      </c>
      <c r="O4">
        <f>F4+G4-I4</f>
        <v/>
      </c>
      <c r="P4">
        <f>-SUMIFS(Movements!$L$2:$L$140,Movements!$A$2:$A$140,$C4,Movements!$E$2:$E$140,"&gt;="&amp;$A4,Movements!$E$2:$E$140,"&lt;="&amp;$B4,Movements!$G$2:$G$140,"dispense")-SUMIFS(Movements!$L$2:$L$140,Movements!$A$2:$A$140,$C4,Movements!$E$2:$E$140,"&gt;="&amp;$A4,Movements!$E$2:$E$140,"&lt;="&amp;$B4,Movements!$G$2:$G$140,"sale")-SUMIFS(Movements!$L$2:$L$140,Movements!$A$2:$A$140,$C4,Movements!$E$2:$E$140,"&gt;="&amp;$A4,Movements!$E$2:$E$140,"&lt;="&amp;$B4,Movements!$G$2:$G$140,"release")</f>
        <v/>
      </c>
    </row>
    <row r="5">
      <c r="A5" t="inlineStr">
        <is>
          <t>2026-09-01</t>
        </is>
      </c>
      <c r="B5" t="inlineStr">
        <is>
          <t>2026-09-30</t>
        </is>
      </c>
      <c r="C5" t="inlineStr">
        <is>
          <t>VITC500</t>
        </is>
      </c>
      <c r="D5">
        <f>SUMIFS(Movements!$H$2:$H$140,Movements!$A$2:$A$140,$C5,Movements!$E$2:$E$140,"&lt;"&amp;$A5)+SUMIFS(Movements!$I$2:$I$140,Movements!$A$2:$A$140,$C5,Movements!$E$2:$E$140,"&lt;"&amp;$A5)+SUMIFS(Movements!$J$2:$J$140,Movements!$A$2:$A$140,$C5,Movements!$E$2:$E$140,"&lt;"&amp;$A5)</f>
        <v/>
      </c>
      <c r="E5">
        <f>SUMIFS(Movements!$H$2:$H$140,Movements!$A$2:$A$140,$C5,Movements!$E$2:$E$140,"&gt;="&amp;$A5,Movements!$E$2:$E$140,"&lt;="&amp;$B5,Movements!$G$2:$G$140,"receipt")</f>
        <v/>
      </c>
      <c r="F5">
        <f>-SUMIFS(Movements!$H$2:$H$140,Movements!$A$2:$A$140,$C5,Movements!$E$2:$E$140,"&gt;="&amp;$A5,Movements!$E$2:$E$140,"&lt;="&amp;$B5,Movements!$G$2:$G$140,"dispense")</f>
        <v/>
      </c>
      <c r="G5">
        <f>-SUMIFS(Movements!$H$2:$H$140,Movements!$A$2:$A$140,$C5,Movements!$E$2:$E$140,"&gt;="&amp;$A5,Movements!$E$2:$E$140,"&lt;="&amp;$B5,Movements!$G$2:$G$140,"sale")</f>
        <v/>
      </c>
      <c r="H5">
        <f>SUMIFS(Movements!$I$2:$I$140,Movements!$A$2:$A$140,$C5,Movements!$E$2:$E$140,"&gt;="&amp;$A5,Movements!$E$2:$E$140,"&lt;="&amp;$B5,Movements!$G$2:$G$140,"return")</f>
        <v/>
      </c>
      <c r="I5">
        <f>SUMIFS(Movements!$H$2:$H$140,Movements!$A$2:$A$140,$C5,Movements!$E$2:$E$140,"&gt;="&amp;$A5,Movements!$E$2:$E$140,"&lt;="&amp;$B5,Movements!$G$2:$G$140,"release")</f>
        <v/>
      </c>
      <c r="J5">
        <f>SUMIFS(Movements!$J$2:$J$140,Movements!$A$2:$A$140,$C5,Movements!$E$2:$E$140,"&gt;="&amp;$A5,Movements!$E$2:$E$140,"&lt;="&amp;$B5,Movements!$G$2:$G$140,"reject")</f>
        <v/>
      </c>
      <c r="K5">
        <f>SUMIFS(Movements!$J$2:$J$140,Movements!$A$2:$A$140,$C5,Movements!$E$2:$E$140,"&gt;="&amp;$A5,Movements!$E$2:$E$140,"&lt;="&amp;$B5,Movements!$G$2:$G$140,"write_off")</f>
        <v/>
      </c>
      <c r="L5">
        <f>-SUMIFS(Movements!$J$2:$J$140,Movements!$A$2:$A$140,$C5,Movements!$E$2:$E$140,"&gt;="&amp;$A5,Movements!$E$2:$E$140,"&lt;="&amp;$B5,Movements!$G$2:$G$140,"destroy")</f>
        <v/>
      </c>
      <c r="M5">
        <f>SUMIFS(Movements!$H$2:$H$140,Movements!$A$2:$A$140,$C5,Movements!$E$2:$E$140,"&gt;="&amp;$A5,Movements!$E$2:$E$140,"&lt;="&amp;$B5,Movements!$G$2:$G$140,"adjustment")</f>
        <v/>
      </c>
      <c r="N5">
        <f>D5+SUMIFS(Movements!$H$2:$H$140,Movements!$A$2:$A$140,$C5,Movements!$E$2:$E$140,"&gt;="&amp;$A5,Movements!$E$2:$E$140,"&lt;="&amp;$B5)+SUMIFS(Movements!$I$2:$I$140,Movements!$A$2:$A$140,$C5,Movements!$E$2:$E$140,"&gt;="&amp;$A5,Movements!$E$2:$E$140,"&lt;="&amp;$B5)+SUMIFS(Movements!$J$2:$J$140,Movements!$A$2:$A$140,$C5,Movements!$E$2:$E$140,"&gt;="&amp;$A5,Movements!$E$2:$E$140,"&lt;="&amp;$B5)</f>
        <v/>
      </c>
      <c r="O5">
        <f>F5+G5-I5</f>
        <v/>
      </c>
      <c r="P5">
        <f>-SUMIFS(Movements!$L$2:$L$140,Movements!$A$2:$A$140,$C5,Movements!$E$2:$E$140,"&gt;="&amp;$A5,Movements!$E$2:$E$140,"&lt;="&amp;$B5,Movements!$G$2:$G$140,"dispense")-SUMIFS(Movements!$L$2:$L$140,Movements!$A$2:$A$140,$C5,Movements!$E$2:$E$140,"&gt;="&amp;$A5,Movements!$E$2:$E$140,"&lt;="&amp;$B5,Movements!$G$2:$G$140,"sale")-SUMIFS(Movements!$L$2:$L$140,Movements!$A$2:$A$140,$C5,Movements!$E$2:$E$140,"&gt;="&amp;$A5,Movements!$E$2:$E$140,"&lt;="&amp;$B5,Movements!$G$2:$G$140,"release")</f>
        <v/>
      </c>
    </row>
    <row r="6">
      <c r="A6" t="inlineStr">
        <is>
          <t>2026-10-01</t>
        </is>
      </c>
      <c r="B6" t="inlineStr">
        <is>
          <t>2026-10-27</t>
        </is>
      </c>
      <c r="C6" t="inlineStr">
        <is>
          <t>BROM8</t>
        </is>
      </c>
      <c r="D6">
        <f>SUMIFS(Movements!$H$2:$H$140,Movements!$A$2:$A$140,$C6,Movements!$E$2:$E$140,"&lt;"&amp;$A6)+SUMIFS(Movements!$I$2:$I$140,Movements!$A$2:$A$140,$C6,Movements!$E$2:$E$140,"&lt;"&amp;$A6)+SUMIFS(Movements!$J$2:$J$140,Movements!$A$2:$A$140,$C6,Movements!$E$2:$E$140,"&lt;"&amp;$A6)</f>
        <v/>
      </c>
      <c r="E6">
        <f>SUMIFS(Movements!$H$2:$H$140,Movements!$A$2:$A$140,$C6,Movements!$E$2:$E$140,"&gt;="&amp;$A6,Movements!$E$2:$E$140,"&lt;="&amp;$B6,Movements!$G$2:$G$140,"receipt")</f>
        <v/>
      </c>
      <c r="F6">
        <f>-SUMIFS(Movements!$H$2:$H$140,Movements!$A$2:$A$140,$C6,Movements!$E$2:$E$140,"&gt;="&amp;$A6,Movements!$E$2:$E$140,"&lt;="&amp;$B6,Movements!$G$2:$G$140,"dispense")</f>
        <v/>
      </c>
      <c r="G6">
        <f>-SUMIFS(Movements!$H$2:$H$140,Movements!$A$2:$A$140,$C6,Movements!$E$2:$E$140,"&gt;="&amp;$A6,Movements!$E$2:$E$140,"&lt;="&amp;$B6,Movements!$G$2:$G$140,"sale")</f>
        <v/>
      </c>
      <c r="H6">
        <f>SUMIFS(Movements!$I$2:$I$140,Movements!$A$2:$A$140,$C6,Movements!$E$2:$E$140,"&gt;="&amp;$A6,Movements!$E$2:$E$140,"&lt;="&amp;$B6,Movements!$G$2:$G$140,"return")</f>
        <v/>
      </c>
      <c r="I6">
        <f>SUMIFS(Movements!$H$2:$H$140,Movements!$A$2:$A$140,$C6,Movements!$E$2:$E$140,"&gt;="&amp;$A6,Movements!$E$2:$E$140,"&lt;="&amp;$B6,Movements!$G$2:$G$140,"release")</f>
        <v/>
      </c>
      <c r="J6">
        <f>SUMIFS(Movements!$J$2:$J$140,Movements!$A$2:$A$140,$C6,Movements!$E$2:$E$140,"&gt;="&amp;$A6,Movements!$E$2:$E$140,"&lt;="&amp;$B6,Movements!$G$2:$G$140,"reject")</f>
        <v/>
      </c>
      <c r="K6">
        <f>SUMIFS(Movements!$J$2:$J$140,Movements!$A$2:$A$140,$C6,Movements!$E$2:$E$140,"&gt;="&amp;$A6,Movements!$E$2:$E$140,"&lt;="&amp;$B6,Movements!$G$2:$G$140,"write_off")</f>
        <v/>
      </c>
      <c r="L6">
        <f>-SUMIFS(Movements!$J$2:$J$140,Movements!$A$2:$A$140,$C6,Movements!$E$2:$E$140,"&gt;="&amp;$A6,Movements!$E$2:$E$140,"&lt;="&amp;$B6,Movements!$G$2:$G$140,"destroy")</f>
        <v/>
      </c>
      <c r="M6">
        <f>SUMIFS(Movements!$H$2:$H$140,Movements!$A$2:$A$140,$C6,Movements!$E$2:$E$140,"&gt;="&amp;$A6,Movements!$E$2:$E$140,"&lt;="&amp;$B6,Movements!$G$2:$G$140,"adjustment")</f>
        <v/>
      </c>
      <c r="N6">
        <f>D6+SUMIFS(Movements!$H$2:$H$140,Movements!$A$2:$A$140,$C6,Movements!$E$2:$E$140,"&gt;="&amp;$A6,Movements!$E$2:$E$140,"&lt;="&amp;$B6)+SUMIFS(Movements!$I$2:$I$140,Movements!$A$2:$A$140,$C6,Movements!$E$2:$E$140,"&gt;="&amp;$A6,Movements!$E$2:$E$140,"&lt;="&amp;$B6)+SUMIFS(Movements!$J$2:$J$140,Movements!$A$2:$A$140,$C6,Movements!$E$2:$E$140,"&gt;="&amp;$A6,Movements!$E$2:$E$140,"&lt;="&amp;$B6)</f>
        <v/>
      </c>
      <c r="O6">
        <f>F6+G6-I6</f>
        <v/>
      </c>
      <c r="P6">
        <f>-SUMIFS(Movements!$L$2:$L$140,Movements!$A$2:$A$140,$C6,Movements!$E$2:$E$140,"&gt;="&amp;$A6,Movements!$E$2:$E$140,"&lt;="&amp;$B6,Movements!$G$2:$G$140,"dispense")-SUMIFS(Movements!$L$2:$L$140,Movements!$A$2:$A$140,$C6,Movements!$E$2:$E$140,"&gt;="&amp;$A6,Movements!$E$2:$E$140,"&lt;="&amp;$B6,Movements!$G$2:$G$140,"sale")-SUMIFS(Movements!$L$2:$L$140,Movements!$A$2:$A$140,$C6,Movements!$E$2:$E$140,"&gt;="&amp;$A6,Movements!$E$2:$E$140,"&lt;="&amp;$B6,Movements!$G$2:$G$140,"release")</f>
        <v/>
      </c>
    </row>
    <row r="7">
      <c r="A7" t="inlineStr">
        <is>
          <t>2026-10-01</t>
        </is>
      </c>
      <c r="B7" t="inlineStr">
        <is>
          <t>2026-10-27</t>
        </is>
      </c>
      <c r="C7" t="inlineStr">
        <is>
          <t>LORA10</t>
        </is>
      </c>
      <c r="D7">
        <f>SUMIFS(Movements!$H$2:$H$140,Movements!$A$2:$A$140,$C7,Movements!$E$2:$E$140,"&lt;"&amp;$A7)+SUMIFS(Movements!$I$2:$I$140,Movements!$A$2:$A$140,$C7,Movements!$E$2:$E$140,"&lt;"&amp;$A7)+SUMIFS(Movements!$J$2:$J$140,Movements!$A$2:$A$140,$C7,Movements!$E$2:$E$140,"&lt;"&amp;$A7)</f>
        <v/>
      </c>
      <c r="E7">
        <f>SUMIFS(Movements!$H$2:$H$140,Movements!$A$2:$A$140,$C7,Movements!$E$2:$E$140,"&gt;="&amp;$A7,Movements!$E$2:$E$140,"&lt;="&amp;$B7,Movements!$G$2:$G$140,"receipt")</f>
        <v/>
      </c>
      <c r="F7">
        <f>-SUMIFS(Movements!$H$2:$H$140,Movements!$A$2:$A$140,$C7,Movements!$E$2:$E$140,"&gt;="&amp;$A7,Movements!$E$2:$E$140,"&lt;="&amp;$B7,Movements!$G$2:$G$140,"dispense")</f>
        <v/>
      </c>
      <c r="G7">
        <f>-SUMIFS(Movements!$H$2:$H$140,Movements!$A$2:$A$140,$C7,Movements!$E$2:$E$140,"&gt;="&amp;$A7,Movements!$E$2:$E$140,"&lt;="&amp;$B7,Movements!$G$2:$G$140,"sale")</f>
        <v/>
      </c>
      <c r="H7">
        <f>SUMIFS(Movements!$I$2:$I$140,Movements!$A$2:$A$140,$C7,Movements!$E$2:$E$140,"&gt;="&amp;$A7,Movements!$E$2:$E$140,"&lt;="&amp;$B7,Movements!$G$2:$G$140,"return")</f>
        <v/>
      </c>
      <c r="I7">
        <f>SUMIFS(Movements!$H$2:$H$140,Movements!$A$2:$A$140,$C7,Movements!$E$2:$E$140,"&gt;="&amp;$A7,Movements!$E$2:$E$140,"&lt;="&amp;$B7,Movements!$G$2:$G$140,"release")</f>
        <v/>
      </c>
      <c r="J7">
        <f>SUMIFS(Movements!$J$2:$J$140,Movements!$A$2:$A$140,$C7,Movements!$E$2:$E$140,"&gt;="&amp;$A7,Movements!$E$2:$E$140,"&lt;="&amp;$B7,Movements!$G$2:$G$140,"reject")</f>
        <v/>
      </c>
      <c r="K7">
        <f>SUMIFS(Movements!$J$2:$J$140,Movements!$A$2:$A$140,$C7,Movements!$E$2:$E$140,"&gt;="&amp;$A7,Movements!$E$2:$E$140,"&lt;="&amp;$B7,Movements!$G$2:$G$140,"write_off")</f>
        <v/>
      </c>
      <c r="L7">
        <f>-SUMIFS(Movements!$J$2:$J$140,Movements!$A$2:$A$140,$C7,Movements!$E$2:$E$140,"&gt;="&amp;$A7,Movements!$E$2:$E$140,"&lt;="&amp;$B7,Movements!$G$2:$G$140,"destroy")</f>
        <v/>
      </c>
      <c r="M7">
        <f>SUMIFS(Movements!$H$2:$H$140,Movements!$A$2:$A$140,$C7,Movements!$E$2:$E$140,"&gt;="&amp;$A7,Movements!$E$2:$E$140,"&lt;="&amp;$B7,Movements!$G$2:$G$140,"adjustment")</f>
        <v/>
      </c>
      <c r="N7">
        <f>D7+SUMIFS(Movements!$H$2:$H$140,Movements!$A$2:$A$140,$C7,Movements!$E$2:$E$140,"&gt;="&amp;$A7,Movements!$E$2:$E$140,"&lt;="&amp;$B7)+SUMIFS(Movements!$I$2:$I$140,Movements!$A$2:$A$140,$C7,Movements!$E$2:$E$140,"&gt;="&amp;$A7,Movements!$E$2:$E$140,"&lt;="&amp;$B7)+SUMIFS(Movements!$J$2:$J$140,Movements!$A$2:$A$140,$C7,Movements!$E$2:$E$140,"&gt;="&amp;$A7,Movements!$E$2:$E$140,"&lt;="&amp;$B7)</f>
        <v/>
      </c>
      <c r="O7">
        <f>F7+G7-I7</f>
        <v/>
      </c>
      <c r="P7">
        <f>-SUMIFS(Movements!$L$2:$L$140,Movements!$A$2:$A$140,$C7,Movements!$E$2:$E$140,"&gt;="&amp;$A7,Movements!$E$2:$E$140,"&lt;="&amp;$B7,Movements!$G$2:$G$140,"dispense")-SUMIFS(Movements!$L$2:$L$140,Movements!$A$2:$A$140,$C7,Movements!$E$2:$E$140,"&gt;="&amp;$A7,Movements!$E$2:$E$140,"&lt;="&amp;$B7,Movements!$G$2:$G$140,"sale")-SUMIFS(Movements!$L$2:$L$140,Movements!$A$2:$A$140,$C7,Movements!$E$2:$E$140,"&gt;="&amp;$A7,Movements!$E$2:$E$140,"&lt;="&amp;$B7,Movements!$G$2:$G$140,"release")</f>
        <v/>
      </c>
    </row>
    <row r="8">
      <c r="A8" t="inlineStr">
        <is>
          <t>2026-10-01</t>
        </is>
      </c>
      <c r="B8" t="inlineStr">
        <is>
          <t>2026-10-27</t>
        </is>
      </c>
      <c r="C8" t="inlineStr">
        <is>
          <t>PARA500</t>
        </is>
      </c>
      <c r="D8">
        <f>SUMIFS(Movements!$H$2:$H$140,Movements!$A$2:$A$140,$C8,Movements!$E$2:$E$140,"&lt;"&amp;$A8)+SUMIFS(Movements!$I$2:$I$140,Movements!$A$2:$A$140,$C8,Movements!$E$2:$E$140,"&lt;"&amp;$A8)+SUMIFS(Movements!$J$2:$J$140,Movements!$A$2:$A$140,$C8,Movements!$E$2:$E$140,"&lt;"&amp;$A8)</f>
        <v/>
      </c>
      <c r="E8">
        <f>SUMIFS(Movements!$H$2:$H$140,Movements!$A$2:$A$140,$C8,Movements!$E$2:$E$140,"&gt;="&amp;$A8,Movements!$E$2:$E$140,"&lt;="&amp;$B8,Movements!$G$2:$G$140,"receipt")</f>
        <v/>
      </c>
      <c r="F8">
        <f>-SUMIFS(Movements!$H$2:$H$140,Movements!$A$2:$A$140,$C8,Movements!$E$2:$E$140,"&gt;="&amp;$A8,Movements!$E$2:$E$140,"&lt;="&amp;$B8,Movements!$G$2:$G$140,"dispense")</f>
        <v/>
      </c>
      <c r="G8">
        <f>-SUMIFS(Movements!$H$2:$H$140,Movements!$A$2:$A$140,$C8,Movements!$E$2:$E$140,"&gt;="&amp;$A8,Movements!$E$2:$E$140,"&lt;="&amp;$B8,Movements!$G$2:$G$140,"sale")</f>
        <v/>
      </c>
      <c r="H8">
        <f>SUMIFS(Movements!$I$2:$I$140,Movements!$A$2:$A$140,$C8,Movements!$E$2:$E$140,"&gt;="&amp;$A8,Movements!$E$2:$E$140,"&lt;="&amp;$B8,Movements!$G$2:$G$140,"return")</f>
        <v/>
      </c>
      <c r="I8">
        <f>SUMIFS(Movements!$H$2:$H$140,Movements!$A$2:$A$140,$C8,Movements!$E$2:$E$140,"&gt;="&amp;$A8,Movements!$E$2:$E$140,"&lt;="&amp;$B8,Movements!$G$2:$G$140,"release")</f>
        <v/>
      </c>
      <c r="J8">
        <f>SUMIFS(Movements!$J$2:$J$140,Movements!$A$2:$A$140,$C8,Movements!$E$2:$E$140,"&gt;="&amp;$A8,Movements!$E$2:$E$140,"&lt;="&amp;$B8,Movements!$G$2:$G$140,"reject")</f>
        <v/>
      </c>
      <c r="K8">
        <f>SUMIFS(Movements!$J$2:$J$140,Movements!$A$2:$A$140,$C8,Movements!$E$2:$E$140,"&gt;="&amp;$A8,Movements!$E$2:$E$140,"&lt;="&amp;$B8,Movements!$G$2:$G$140,"write_off")</f>
        <v/>
      </c>
      <c r="L8">
        <f>-SUMIFS(Movements!$J$2:$J$140,Movements!$A$2:$A$140,$C8,Movements!$E$2:$E$140,"&gt;="&amp;$A8,Movements!$E$2:$E$140,"&lt;="&amp;$B8,Movements!$G$2:$G$140,"destroy")</f>
        <v/>
      </c>
      <c r="M8">
        <f>SUMIFS(Movements!$H$2:$H$140,Movements!$A$2:$A$140,$C8,Movements!$E$2:$E$140,"&gt;="&amp;$A8,Movements!$E$2:$E$140,"&lt;="&amp;$B8,Movements!$G$2:$G$140,"adjustment")</f>
        <v/>
      </c>
      <c r="N8">
        <f>D8+SUMIFS(Movements!$H$2:$H$140,Movements!$A$2:$A$140,$C8,Movements!$E$2:$E$140,"&gt;="&amp;$A8,Movements!$E$2:$E$140,"&lt;="&amp;$B8)+SUMIFS(Movements!$I$2:$I$140,Movements!$A$2:$A$140,$C8,Movements!$E$2:$E$140,"&gt;="&amp;$A8,Movements!$E$2:$E$140,"&lt;="&amp;$B8)+SUMIFS(Movements!$J$2:$J$140,Movements!$A$2:$A$140,$C8,Movements!$E$2:$E$140,"&gt;="&amp;$A8,Movements!$E$2:$E$140,"&lt;="&amp;$B8)</f>
        <v/>
      </c>
      <c r="O8">
        <f>F8+G8-I8</f>
        <v/>
      </c>
      <c r="P8">
        <f>-SUMIFS(Movements!$L$2:$L$140,Movements!$A$2:$A$140,$C8,Movements!$E$2:$E$140,"&gt;="&amp;$A8,Movements!$E$2:$E$140,"&lt;="&amp;$B8,Movements!$G$2:$G$140,"dispense")-SUMIFS(Movements!$L$2:$L$140,Movements!$A$2:$A$140,$C8,Movements!$E$2:$E$140,"&gt;="&amp;$A8,Movements!$E$2:$E$140,"&lt;="&amp;$B8,Movements!$G$2:$G$140,"sale")-SUMIFS(Movements!$L$2:$L$140,Movements!$A$2:$A$140,$C8,Movements!$E$2:$E$140,"&gt;="&amp;$A8,Movements!$E$2:$E$140,"&lt;="&amp;$B8,Movements!$G$2:$G$140,"release")</f>
        <v/>
      </c>
    </row>
    <row r="9">
      <c r="A9" t="inlineStr">
        <is>
          <t>2026-10-01</t>
        </is>
      </c>
      <c r="B9" t="inlineStr">
        <is>
          <t>2026-10-27</t>
        </is>
      </c>
      <c r="C9" t="inlineStr">
        <is>
          <t>VITC500</t>
        </is>
      </c>
      <c r="D9">
        <f>SUMIFS(Movements!$H$2:$H$140,Movements!$A$2:$A$140,$C9,Movements!$E$2:$E$140,"&lt;"&amp;$A9)+SUMIFS(Movements!$I$2:$I$140,Movements!$A$2:$A$140,$C9,Movements!$E$2:$E$140,"&lt;"&amp;$A9)+SUMIFS(Movements!$J$2:$J$140,Movements!$A$2:$A$140,$C9,Movements!$E$2:$E$140,"&lt;"&amp;$A9)</f>
        <v/>
      </c>
      <c r="E9">
        <f>SUMIFS(Movements!$H$2:$H$140,Movements!$A$2:$A$140,$C9,Movements!$E$2:$E$140,"&gt;="&amp;$A9,Movements!$E$2:$E$140,"&lt;="&amp;$B9,Movements!$G$2:$G$140,"receipt")</f>
        <v/>
      </c>
      <c r="F9">
        <f>-SUMIFS(Movements!$H$2:$H$140,Movements!$A$2:$A$140,$C9,Movements!$E$2:$E$140,"&gt;="&amp;$A9,Movements!$E$2:$E$140,"&lt;="&amp;$B9,Movements!$G$2:$G$140,"dispense")</f>
        <v/>
      </c>
      <c r="G9">
        <f>-SUMIFS(Movements!$H$2:$H$140,Movements!$A$2:$A$140,$C9,Movements!$E$2:$E$140,"&gt;="&amp;$A9,Movements!$E$2:$E$140,"&lt;="&amp;$B9,Movements!$G$2:$G$140,"sale")</f>
        <v/>
      </c>
      <c r="H9">
        <f>SUMIFS(Movements!$I$2:$I$140,Movements!$A$2:$A$140,$C9,Movements!$E$2:$E$140,"&gt;="&amp;$A9,Movements!$E$2:$E$140,"&lt;="&amp;$B9,Movements!$G$2:$G$140,"return")</f>
        <v/>
      </c>
      <c r="I9">
        <f>SUMIFS(Movements!$H$2:$H$140,Movements!$A$2:$A$140,$C9,Movements!$E$2:$E$140,"&gt;="&amp;$A9,Movements!$E$2:$E$140,"&lt;="&amp;$B9,Movements!$G$2:$G$140,"release")</f>
        <v/>
      </c>
      <c r="J9">
        <f>SUMIFS(Movements!$J$2:$J$140,Movements!$A$2:$A$140,$C9,Movements!$E$2:$E$140,"&gt;="&amp;$A9,Movements!$E$2:$E$140,"&lt;="&amp;$B9,Movements!$G$2:$G$140,"reject")</f>
        <v/>
      </c>
      <c r="K9">
        <f>SUMIFS(Movements!$J$2:$J$140,Movements!$A$2:$A$140,$C9,Movements!$E$2:$E$140,"&gt;="&amp;$A9,Movements!$E$2:$E$140,"&lt;="&amp;$B9,Movements!$G$2:$G$140,"write_off")</f>
        <v/>
      </c>
      <c r="L9">
        <f>-SUMIFS(Movements!$J$2:$J$140,Movements!$A$2:$A$140,$C9,Movements!$E$2:$E$140,"&gt;="&amp;$A9,Movements!$E$2:$E$140,"&lt;="&amp;$B9,Movements!$G$2:$G$140,"destroy")</f>
        <v/>
      </c>
      <c r="M9">
        <f>SUMIFS(Movements!$H$2:$H$140,Movements!$A$2:$A$140,$C9,Movements!$E$2:$E$140,"&gt;="&amp;$A9,Movements!$E$2:$E$140,"&lt;="&amp;$B9,Movements!$G$2:$G$140,"adjustment")</f>
        <v/>
      </c>
      <c r="N9">
        <f>D9+SUMIFS(Movements!$H$2:$H$140,Movements!$A$2:$A$140,$C9,Movements!$E$2:$E$140,"&gt;="&amp;$A9,Movements!$E$2:$E$140,"&lt;="&amp;$B9)+SUMIFS(Movements!$I$2:$I$140,Movements!$A$2:$A$140,$C9,Movements!$E$2:$E$140,"&gt;="&amp;$A9,Movements!$E$2:$E$140,"&lt;="&amp;$B9)+SUMIFS(Movements!$J$2:$J$140,Movements!$A$2:$A$140,$C9,Movements!$E$2:$E$140,"&gt;="&amp;$A9,Movements!$E$2:$E$140,"&lt;="&amp;$B9)</f>
        <v/>
      </c>
      <c r="O9">
        <f>F9+G9-I9</f>
        <v/>
      </c>
      <c r="P9">
        <f>-SUMIFS(Movements!$L$2:$L$140,Movements!$A$2:$A$140,$C9,Movements!$E$2:$E$140,"&gt;="&amp;$A9,Movements!$E$2:$E$140,"&lt;="&amp;$B9,Movements!$G$2:$G$140,"dispense")-SUMIFS(Movements!$L$2:$L$140,Movements!$A$2:$A$140,$C9,Movements!$E$2:$E$140,"&gt;="&amp;$A9,Movements!$E$2:$E$140,"&lt;="&amp;$B9,Movements!$G$2:$G$140,"sale")-SUMIFS(Movements!$L$2:$L$140,Movements!$A$2:$A$140,$C9,Movements!$E$2:$E$140,"&gt;="&amp;$A9,Movements!$E$2:$E$140,"&lt;="&amp;$B9,Movements!$G$2:$G$140,"releas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period_from</t>
        </is>
      </c>
      <c r="B1" s="1" t="inlineStr">
        <is>
          <t>period_to</t>
        </is>
      </c>
      <c r="C1" s="1" t="inlineStr">
        <is>
          <t>medicine</t>
        </is>
      </c>
      <c r="D1" s="1" t="inlineStr">
        <is>
          <t>opening</t>
        </is>
      </c>
      <c r="E1" s="1" t="inlineStr">
        <is>
          <t>received</t>
        </is>
      </c>
      <c r="F1" s="1" t="inlineStr">
        <is>
          <t>dispensed</t>
        </is>
      </c>
      <c r="G1" s="1" t="inlineStr">
        <is>
          <t>sold</t>
        </is>
      </c>
      <c r="H1" s="1" t="inlineStr">
        <is>
          <t>returned</t>
        </is>
      </c>
      <c r="I1" s="1" t="inlineStr">
        <is>
          <t>released</t>
        </is>
      </c>
      <c r="J1" s="1" t="inlineStr">
        <is>
          <t>rejected</t>
        </is>
      </c>
      <c r="K1" s="1" t="inlineStr">
        <is>
          <t>writtenOff</t>
        </is>
      </c>
      <c r="L1" s="1" t="inlineStr">
        <is>
          <t>destroyed</t>
        </is>
      </c>
      <c r="M1" s="1" t="inlineStr">
        <is>
          <t>adjusted</t>
        </is>
      </c>
      <c r="N1" s="1" t="inlineStr">
        <is>
          <t>closing</t>
        </is>
      </c>
      <c r="O1" s="1" t="inlineStr">
        <is>
          <t>netIssued</t>
        </is>
      </c>
      <c r="P1" s="1" t="inlineStr">
        <is>
          <t>costNetIssued</t>
        </is>
      </c>
    </row>
    <row r="2">
      <c r="A2" t="inlineStr">
        <is>
          <t>2026-09-01</t>
        </is>
      </c>
      <c r="B2" t="inlineStr">
        <is>
          <t>2026-09-30</t>
        </is>
      </c>
      <c r="C2" t="inlineStr">
        <is>
          <t>BROM8</t>
        </is>
      </c>
      <c r="D2" t="n">
        <v>406</v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396</v>
      </c>
      <c r="O2" t="n">
        <v>10</v>
      </c>
      <c r="P2" t="n">
        <v>3960</v>
      </c>
    </row>
    <row r="3">
      <c r="A3" t="inlineStr">
        <is>
          <t>2026-09-01</t>
        </is>
      </c>
      <c r="B3" t="inlineStr">
        <is>
          <t>2026-09-30</t>
        </is>
      </c>
      <c r="C3" t="inlineStr">
        <is>
          <t>LORA10</t>
        </is>
      </c>
      <c r="D3" t="n">
        <v>248</v>
      </c>
      <c r="E3" t="n">
        <v>0</v>
      </c>
      <c r="F3" t="n">
        <v>0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238</v>
      </c>
      <c r="O3" t="n">
        <v>10</v>
      </c>
      <c r="P3" t="n">
        <v>8000</v>
      </c>
    </row>
    <row r="4">
      <c r="A4" t="inlineStr">
        <is>
          <t>2026-09-01</t>
        </is>
      </c>
      <c r="B4" t="inlineStr">
        <is>
          <t>2026-09-30</t>
        </is>
      </c>
      <c r="C4" t="inlineStr">
        <is>
          <t>PARA500</t>
        </is>
      </c>
      <c r="D4" t="n">
        <v>507</v>
      </c>
      <c r="E4" t="n">
        <v>0</v>
      </c>
      <c r="F4" t="n">
        <v>0</v>
      </c>
      <c r="G4" t="n">
        <v>23</v>
      </c>
      <c r="H4" t="n">
        <v>2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486</v>
      </c>
      <c r="O4" t="n">
        <v>21</v>
      </c>
      <c r="P4" t="n">
        <v>6300</v>
      </c>
    </row>
    <row r="5">
      <c r="A5" t="inlineStr">
        <is>
          <t>2026-09-01</t>
        </is>
      </c>
      <c r="B5" t="inlineStr">
        <is>
          <t>2026-09-30</t>
        </is>
      </c>
      <c r="C5" t="inlineStr">
        <is>
          <t>VITC500</t>
        </is>
      </c>
      <c r="D5" t="n">
        <v>219</v>
      </c>
      <c r="E5" t="n">
        <v>0</v>
      </c>
      <c r="F5" t="n">
        <v>0</v>
      </c>
      <c r="G5" t="n">
        <v>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192</v>
      </c>
      <c r="O5" t="n">
        <v>27</v>
      </c>
      <c r="P5" t="n">
        <v>14823</v>
      </c>
    </row>
    <row r="6">
      <c r="A6" t="inlineStr">
        <is>
          <t>2026-10-01</t>
        </is>
      </c>
      <c r="B6" t="inlineStr">
        <is>
          <t>2026-10-27</t>
        </is>
      </c>
      <c r="C6" t="inlineStr">
        <is>
          <t>BROM8</t>
        </is>
      </c>
      <c r="D6" t="n">
        <v>396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396</v>
      </c>
      <c r="O6" t="n">
        <v>0</v>
      </c>
      <c r="P6" t="n">
        <v>0</v>
      </c>
    </row>
    <row r="7">
      <c r="A7" t="inlineStr">
        <is>
          <t>2026-10-01</t>
        </is>
      </c>
      <c r="B7" t="inlineStr">
        <is>
          <t>2026-10-27</t>
        </is>
      </c>
      <c r="C7" t="inlineStr">
        <is>
          <t>LORA10</t>
        </is>
      </c>
      <c r="D7" t="n">
        <v>238</v>
      </c>
      <c r="E7" t="n">
        <v>0</v>
      </c>
      <c r="F7" t="n">
        <v>0</v>
      </c>
      <c r="G7" t="n">
        <v>16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224</v>
      </c>
      <c r="O7" t="n">
        <v>16</v>
      </c>
      <c r="P7" t="n">
        <v>12170</v>
      </c>
    </row>
    <row r="8">
      <c r="A8" t="inlineStr">
        <is>
          <t>2026-10-01</t>
        </is>
      </c>
      <c r="B8" t="inlineStr">
        <is>
          <t>2026-10-27</t>
        </is>
      </c>
      <c r="C8" t="inlineStr">
        <is>
          <t>PARA500</t>
        </is>
      </c>
      <c r="D8" t="n">
        <v>486</v>
      </c>
      <c r="E8" t="n">
        <v>0</v>
      </c>
      <c r="F8" t="n">
        <v>0</v>
      </c>
      <c r="G8" t="n">
        <v>10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476</v>
      </c>
      <c r="O8" t="n">
        <v>10</v>
      </c>
      <c r="P8" t="n">
        <v>3950</v>
      </c>
    </row>
    <row r="9">
      <c r="A9" t="inlineStr">
        <is>
          <t>2026-10-01</t>
        </is>
      </c>
      <c r="B9" t="inlineStr">
        <is>
          <t>2026-10-27</t>
        </is>
      </c>
      <c r="C9" t="inlineStr">
        <is>
          <t>VITC500</t>
        </is>
      </c>
      <c r="D9" t="n">
        <v>192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193</v>
      </c>
      <c r="O9" t="n">
        <v>0</v>
      </c>
      <c r="P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period_from</t>
        </is>
      </c>
      <c r="B1" s="1" t="inlineStr">
        <is>
          <t>medicine</t>
        </is>
      </c>
      <c r="C1" s="1" t="inlineStr">
        <is>
          <t>calc_net_issued</t>
        </is>
      </c>
      <c r="D1" s="1" t="inlineStr">
        <is>
          <t>report_net_issued</t>
        </is>
      </c>
      <c r="E1" s="1" t="inlineStr">
        <is>
          <t>calc_cost</t>
        </is>
      </c>
      <c r="F1" s="1" t="inlineStr">
        <is>
          <t>report_cost</t>
        </is>
      </c>
      <c r="G1" s="1" t="inlineStr">
        <is>
          <t>match</t>
        </is>
      </c>
    </row>
    <row r="2">
      <c r="A2">
        <f>Calculation!A2</f>
        <v/>
      </c>
      <c r="B2">
        <f>Calculation!C2</f>
        <v/>
      </c>
      <c r="C2">
        <f>Calculation!O2</f>
        <v/>
      </c>
      <c r="D2">
        <f>Report!O2</f>
        <v/>
      </c>
      <c r="E2">
        <f>Calculation!P2</f>
        <v/>
      </c>
      <c r="F2">
        <f>Report!P2</f>
        <v/>
      </c>
      <c r="G2">
        <f>IF(AND(C2=D2,ROUND(E2,2)=ROUND(F2,2),Calculation!N2=Report!N2),"yes","no")</f>
        <v/>
      </c>
    </row>
    <row r="3">
      <c r="A3">
        <f>Calculation!A3</f>
        <v/>
      </c>
      <c r="B3">
        <f>Calculation!C3</f>
        <v/>
      </c>
      <c r="C3">
        <f>Calculation!O3</f>
        <v/>
      </c>
      <c r="D3">
        <f>Report!O3</f>
        <v/>
      </c>
      <c r="E3">
        <f>Calculation!P3</f>
        <v/>
      </c>
      <c r="F3">
        <f>Report!P3</f>
        <v/>
      </c>
      <c r="G3">
        <f>IF(AND(C3=D3,ROUND(E3,2)=ROUND(F3,2),Calculation!N3=Report!N3),"yes","no")</f>
        <v/>
      </c>
    </row>
    <row r="4">
      <c r="A4">
        <f>Calculation!A4</f>
        <v/>
      </c>
      <c r="B4">
        <f>Calculation!C4</f>
        <v/>
      </c>
      <c r="C4">
        <f>Calculation!O4</f>
        <v/>
      </c>
      <c r="D4">
        <f>Report!O4</f>
        <v/>
      </c>
      <c r="E4">
        <f>Calculation!P4</f>
        <v/>
      </c>
      <c r="F4">
        <f>Report!P4</f>
        <v/>
      </c>
      <c r="G4">
        <f>IF(AND(C4=D4,ROUND(E4,2)=ROUND(F4,2),Calculation!N4=Report!N4),"yes","no")</f>
        <v/>
      </c>
    </row>
    <row r="5">
      <c r="A5">
        <f>Calculation!A5</f>
        <v/>
      </c>
      <c r="B5">
        <f>Calculation!C5</f>
        <v/>
      </c>
      <c r="C5">
        <f>Calculation!O5</f>
        <v/>
      </c>
      <c r="D5">
        <f>Report!O5</f>
        <v/>
      </c>
      <c r="E5">
        <f>Calculation!P5</f>
        <v/>
      </c>
      <c r="F5">
        <f>Report!P5</f>
        <v/>
      </c>
      <c r="G5">
        <f>IF(AND(C5=D5,ROUND(E5,2)=ROUND(F5,2),Calculation!N5=Report!N5),"yes","no")</f>
        <v/>
      </c>
    </row>
    <row r="6">
      <c r="A6">
        <f>Calculation!A6</f>
        <v/>
      </c>
      <c r="B6">
        <f>Calculation!C6</f>
        <v/>
      </c>
      <c r="C6">
        <f>Calculation!O6</f>
        <v/>
      </c>
      <c r="D6">
        <f>Report!O6</f>
        <v/>
      </c>
      <c r="E6">
        <f>Calculation!P6</f>
        <v/>
      </c>
      <c r="F6">
        <f>Report!P6</f>
        <v/>
      </c>
      <c r="G6">
        <f>IF(AND(C6=D6,ROUND(E6,2)=ROUND(F6,2),Calculation!N6=Report!N6),"yes","no")</f>
        <v/>
      </c>
    </row>
    <row r="7">
      <c r="A7">
        <f>Calculation!A7</f>
        <v/>
      </c>
      <c r="B7">
        <f>Calculation!C7</f>
        <v/>
      </c>
      <c r="C7">
        <f>Calculation!O7</f>
        <v/>
      </c>
      <c r="D7">
        <f>Report!O7</f>
        <v/>
      </c>
      <c r="E7">
        <f>Calculation!P7</f>
        <v/>
      </c>
      <c r="F7">
        <f>Report!P7</f>
        <v/>
      </c>
      <c r="G7">
        <f>IF(AND(C7=D7,ROUND(E7,2)=ROUND(F7,2),Calculation!N7=Report!N7),"yes","no")</f>
        <v/>
      </c>
    </row>
    <row r="8">
      <c r="A8">
        <f>Calculation!A8</f>
        <v/>
      </c>
      <c r="B8">
        <f>Calculation!C8</f>
        <v/>
      </c>
      <c r="C8">
        <f>Calculation!O8</f>
        <v/>
      </c>
      <c r="D8">
        <f>Report!O8</f>
        <v/>
      </c>
      <c r="E8">
        <f>Calculation!P8</f>
        <v/>
      </c>
      <c r="F8">
        <f>Report!P8</f>
        <v/>
      </c>
      <c r="G8">
        <f>IF(AND(C8=D8,ROUND(E8,2)=ROUND(F8,2),Calculation!N8=Report!N8),"yes","no")</f>
        <v/>
      </c>
    </row>
    <row r="9">
      <c r="A9">
        <f>Calculation!A9</f>
        <v/>
      </c>
      <c r="B9">
        <f>Calculation!C9</f>
        <v/>
      </c>
      <c r="C9">
        <f>Calculation!O9</f>
        <v/>
      </c>
      <c r="D9">
        <f>Report!O9</f>
        <v/>
      </c>
      <c r="E9">
        <f>Calculation!P9</f>
        <v/>
      </c>
      <c r="F9">
        <f>Report!P9</f>
        <v/>
      </c>
      <c r="G9">
        <f>IF(AND(C9=D9,ROUND(E9,2)=ROUND(F9,2),Calculation!N9=Report!N9),"yes","no")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2026-10-27T15:53:59Z</dcterms:created>
  <dcterms:modified xmlns:dcterms="http://purl.org/dc/terms/" xmlns:xsi="http://www.w3.org/2001/XMLSchema-instance" xsi:type="dcterms:W3CDTF">2026-10-27T15:53:59Z</dcterms:modified>
</cp:coreProperties>
</file>